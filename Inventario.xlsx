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ngjr\Downloads\"/>
    </mc:Choice>
  </mc:AlternateContent>
  <xr:revisionPtr revIDLastSave="0" documentId="13_ncr:1_{F1A7DAD7-5F52-40E0-8478-91D19FBAF3F2}" xr6:coauthVersionLast="47" xr6:coauthVersionMax="47" xr10:uidLastSave="{00000000-0000-0000-0000-000000000000}"/>
  <bookViews>
    <workbookView xWindow="-120" yWindow="-120" windowWidth="29040" windowHeight="15720" xr2:uid="{00000000-000D-0000-FFFF-FFFF00000000}"/>
  </bookViews>
  <sheets>
    <sheet name="Resumen" sheetId="4" r:id="rId1"/>
    <sheet name="Portatiles" sheetId="6" r:id="rId2"/>
    <sheet name="Kardex" sheetId="1" r:id="rId3"/>
    <sheet name="Hoja5" sheetId="5" r:id="rId4"/>
    <sheet name="Hoja1" sheetId="2" r:id="rId5"/>
    <sheet name="Hoja3" sheetId="3" r:id="rId6"/>
  </sheets>
  <definedNames>
    <definedName name="_xlnm.Print_Area" localSheetId="1">Tabla1[#All]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LtcvlJ0PmOZQTtJG4x51DD/iRUQCDLwEsNuCiDlrf4="/>
    </ext>
  </extLst>
</workbook>
</file>

<file path=xl/calcChain.xml><?xml version="1.0" encoding="utf-8"?>
<calcChain xmlns="http://schemas.openxmlformats.org/spreadsheetml/2006/main">
  <c r="L1412" i="1" l="1"/>
  <c r="K1412" i="1"/>
  <c r="K1407" i="1" s="1"/>
  <c r="K221" i="4" s="1"/>
  <c r="J1412" i="1"/>
  <c r="J1407" i="1" s="1"/>
  <c r="L1406" i="1"/>
  <c r="K1406" i="1"/>
  <c r="K1401" i="1" s="1"/>
  <c r="K220" i="4" s="1"/>
  <c r="J1406" i="1"/>
  <c r="J1401" i="1" s="1"/>
  <c r="L1400" i="1"/>
  <c r="K1400" i="1"/>
  <c r="J1400" i="1"/>
  <c r="J1395" i="1" s="1"/>
  <c r="K1395" i="1"/>
  <c r="K219" i="4" s="1"/>
  <c r="L1394" i="1"/>
  <c r="K1394" i="1"/>
  <c r="K1389" i="1" s="1"/>
  <c r="K218" i="4" s="1"/>
  <c r="J1394" i="1"/>
  <c r="J1389" i="1" s="1"/>
  <c r="L1388" i="1"/>
  <c r="K1388" i="1"/>
  <c r="K1383" i="1" s="1"/>
  <c r="K217" i="4" s="1"/>
  <c r="J1388" i="1"/>
  <c r="J1383" i="1" s="1"/>
  <c r="L1382" i="1"/>
  <c r="K1382" i="1"/>
  <c r="J1382" i="1"/>
  <c r="K1377" i="1"/>
  <c r="K216" i="4" s="1"/>
  <c r="J1377" i="1"/>
  <c r="L1377" i="1" s="1"/>
  <c r="L216" i="4" s="1"/>
  <c r="L1376" i="1"/>
  <c r="K1376" i="1"/>
  <c r="K1371" i="1" s="1"/>
  <c r="K215" i="4" s="1"/>
  <c r="J1376" i="1"/>
  <c r="J1371" i="1" s="1"/>
  <c r="L1370" i="1"/>
  <c r="K1370" i="1"/>
  <c r="K1365" i="1" s="1"/>
  <c r="K214" i="4" s="1"/>
  <c r="J1370" i="1"/>
  <c r="J1365" i="1" s="1"/>
  <c r="L1364" i="1"/>
  <c r="K1364" i="1"/>
  <c r="K1359" i="1" s="1"/>
  <c r="K213" i="4" s="1"/>
  <c r="J1364" i="1"/>
  <c r="J1359" i="1"/>
  <c r="J213" i="4" s="1"/>
  <c r="L1358" i="1"/>
  <c r="K1358" i="1"/>
  <c r="K1353" i="1" s="1"/>
  <c r="K212" i="4" s="1"/>
  <c r="J1358" i="1"/>
  <c r="J1353" i="1" s="1"/>
  <c r="L1352" i="1"/>
  <c r="K1352" i="1"/>
  <c r="K1347" i="1" s="1"/>
  <c r="K211" i="4" s="1"/>
  <c r="J1352" i="1"/>
  <c r="J1347" i="1" s="1"/>
  <c r="L1346" i="1"/>
  <c r="K1346" i="1"/>
  <c r="K1341" i="1" s="1"/>
  <c r="K210" i="4" s="1"/>
  <c r="J1346" i="1"/>
  <c r="J1341" i="1" s="1"/>
  <c r="J210" i="4" s="1"/>
  <c r="B213" i="4"/>
  <c r="C213" i="4"/>
  <c r="D213" i="4"/>
  <c r="E213" i="4"/>
  <c r="F213" i="4"/>
  <c r="G213" i="4"/>
  <c r="H213" i="4"/>
  <c r="I213" i="4"/>
  <c r="B214" i="4"/>
  <c r="C214" i="4"/>
  <c r="D214" i="4"/>
  <c r="E214" i="4"/>
  <c r="F214" i="4"/>
  <c r="G214" i="4"/>
  <c r="H214" i="4"/>
  <c r="I214" i="4"/>
  <c r="B215" i="4"/>
  <c r="C215" i="4"/>
  <c r="D215" i="4"/>
  <c r="E215" i="4"/>
  <c r="F215" i="4"/>
  <c r="G215" i="4"/>
  <c r="H215" i="4"/>
  <c r="I215" i="4"/>
  <c r="B216" i="4"/>
  <c r="C216" i="4"/>
  <c r="D216" i="4"/>
  <c r="E216" i="4"/>
  <c r="F216" i="4"/>
  <c r="G216" i="4"/>
  <c r="H216" i="4"/>
  <c r="I216" i="4"/>
  <c r="B217" i="4"/>
  <c r="C217" i="4"/>
  <c r="D217" i="4"/>
  <c r="E217" i="4"/>
  <c r="F217" i="4"/>
  <c r="G217" i="4"/>
  <c r="H217" i="4"/>
  <c r="I217" i="4"/>
  <c r="B218" i="4"/>
  <c r="C218" i="4"/>
  <c r="D218" i="4"/>
  <c r="E218" i="4"/>
  <c r="F218" i="4"/>
  <c r="G218" i="4"/>
  <c r="H218" i="4"/>
  <c r="I218" i="4"/>
  <c r="B219" i="4"/>
  <c r="C219" i="4"/>
  <c r="D219" i="4"/>
  <c r="E219" i="4"/>
  <c r="F219" i="4"/>
  <c r="G219" i="4"/>
  <c r="H219" i="4"/>
  <c r="I219" i="4"/>
  <c r="B220" i="4"/>
  <c r="C220" i="4"/>
  <c r="D220" i="4"/>
  <c r="E220" i="4"/>
  <c r="F220" i="4"/>
  <c r="G220" i="4"/>
  <c r="H220" i="4"/>
  <c r="I220" i="4"/>
  <c r="B221" i="4"/>
  <c r="C221" i="4"/>
  <c r="D221" i="4"/>
  <c r="E221" i="4"/>
  <c r="F221" i="4"/>
  <c r="G221" i="4"/>
  <c r="H221" i="4"/>
  <c r="I221" i="4"/>
  <c r="B222" i="4"/>
  <c r="C222" i="4"/>
  <c r="D222" i="4"/>
  <c r="E222" i="4"/>
  <c r="F222" i="4"/>
  <c r="G222" i="4"/>
  <c r="H222" i="4"/>
  <c r="I222" i="4"/>
  <c r="J222" i="4"/>
  <c r="K222" i="4"/>
  <c r="L222" i="4"/>
  <c r="B223" i="4"/>
  <c r="C223" i="4"/>
  <c r="D223" i="4"/>
  <c r="E223" i="4"/>
  <c r="F223" i="4"/>
  <c r="G223" i="4"/>
  <c r="H223" i="4"/>
  <c r="I223" i="4"/>
  <c r="J223" i="4"/>
  <c r="K223" i="4"/>
  <c r="L223" i="4"/>
  <c r="L1340" i="1"/>
  <c r="K1340" i="1"/>
  <c r="K1335" i="1" s="1"/>
  <c r="K209" i="4" s="1"/>
  <c r="J1340" i="1"/>
  <c r="J1335" i="1" s="1"/>
  <c r="L1334" i="1"/>
  <c r="K1334" i="1"/>
  <c r="K1329" i="1" s="1"/>
  <c r="K208" i="4" s="1"/>
  <c r="J1334" i="1"/>
  <c r="J1329" i="1" s="1"/>
  <c r="J208" i="4" s="1"/>
  <c r="L1328" i="1"/>
  <c r="K1328" i="1"/>
  <c r="K1323" i="1" s="1"/>
  <c r="K207" i="4" s="1"/>
  <c r="J1328" i="1"/>
  <c r="J1323" i="1" s="1"/>
  <c r="L1322" i="1"/>
  <c r="K1322" i="1"/>
  <c r="K1317" i="1" s="1"/>
  <c r="K206" i="4" s="1"/>
  <c r="J1322" i="1"/>
  <c r="J1317" i="1" s="1"/>
  <c r="L1316" i="1"/>
  <c r="K1316" i="1"/>
  <c r="K1311" i="1" s="1"/>
  <c r="K205" i="4" s="1"/>
  <c r="J1316" i="1"/>
  <c r="J1311" i="1" s="1"/>
  <c r="L1310" i="1"/>
  <c r="K1310" i="1"/>
  <c r="K1305" i="1" s="1"/>
  <c r="K204" i="4" s="1"/>
  <c r="J1310" i="1"/>
  <c r="J1305" i="1" s="1"/>
  <c r="L1304" i="1"/>
  <c r="K1304" i="1"/>
  <c r="K1299" i="1" s="1"/>
  <c r="K203" i="4" s="1"/>
  <c r="J1304" i="1"/>
  <c r="J1299" i="1" s="1"/>
  <c r="L1298" i="1"/>
  <c r="K1298" i="1"/>
  <c r="K1293" i="1" s="1"/>
  <c r="K202" i="4" s="1"/>
  <c r="J1298" i="1"/>
  <c r="J1293" i="1" s="1"/>
  <c r="L1292" i="1"/>
  <c r="K1292" i="1"/>
  <c r="K1287" i="1" s="1"/>
  <c r="K201" i="4" s="1"/>
  <c r="J1292" i="1"/>
  <c r="J1287" i="1" s="1"/>
  <c r="L1286" i="1"/>
  <c r="K1286" i="1"/>
  <c r="K1281" i="1" s="1"/>
  <c r="K200" i="4" s="1"/>
  <c r="J1286" i="1"/>
  <c r="J1281" i="1" s="1"/>
  <c r="L1280" i="1"/>
  <c r="K1280" i="1"/>
  <c r="K1275" i="1" s="1"/>
  <c r="K199" i="4" s="1"/>
  <c r="J1280" i="1"/>
  <c r="J1275" i="1" s="1"/>
  <c r="L1274" i="1"/>
  <c r="K1274" i="1"/>
  <c r="K1269" i="1" s="1"/>
  <c r="K198" i="4" s="1"/>
  <c r="J1274" i="1"/>
  <c r="J1269" i="1" s="1"/>
  <c r="L1268" i="1"/>
  <c r="K1268" i="1"/>
  <c r="K1263" i="1" s="1"/>
  <c r="K197" i="4" s="1"/>
  <c r="J1268" i="1"/>
  <c r="J1263" i="1" s="1"/>
  <c r="L1262" i="1"/>
  <c r="K1262" i="1"/>
  <c r="J1262" i="1"/>
  <c r="J1257" i="1" s="1"/>
  <c r="K1257" i="1"/>
  <c r="K196" i="4" s="1"/>
  <c r="L1256" i="1"/>
  <c r="K1256" i="1"/>
  <c r="K1251" i="1" s="1"/>
  <c r="K195" i="4" s="1"/>
  <c r="J1256" i="1"/>
  <c r="J1251" i="1" s="1"/>
  <c r="J195" i="4" s="1"/>
  <c r="L1250" i="1"/>
  <c r="K1250" i="1"/>
  <c r="K1245" i="1" s="1"/>
  <c r="K194" i="4" s="1"/>
  <c r="J1250" i="1"/>
  <c r="J1245" i="1" s="1"/>
  <c r="L1244" i="1"/>
  <c r="K1244" i="1"/>
  <c r="K1239" i="1" s="1"/>
  <c r="K193" i="4" s="1"/>
  <c r="J1244" i="1"/>
  <c r="J1239" i="1" s="1"/>
  <c r="B197" i="4"/>
  <c r="C197" i="4"/>
  <c r="D197" i="4"/>
  <c r="E197" i="4"/>
  <c r="F197" i="4"/>
  <c r="G197" i="4"/>
  <c r="H197" i="4"/>
  <c r="I197" i="4"/>
  <c r="B198" i="4"/>
  <c r="C198" i="4"/>
  <c r="D198" i="4"/>
  <c r="E198" i="4"/>
  <c r="F198" i="4"/>
  <c r="G198" i="4"/>
  <c r="H198" i="4"/>
  <c r="I198" i="4"/>
  <c r="B199" i="4"/>
  <c r="C199" i="4"/>
  <c r="D199" i="4"/>
  <c r="E199" i="4"/>
  <c r="F199" i="4"/>
  <c r="G199" i="4"/>
  <c r="H199" i="4"/>
  <c r="I199" i="4"/>
  <c r="B200" i="4"/>
  <c r="C200" i="4"/>
  <c r="D200" i="4"/>
  <c r="E200" i="4"/>
  <c r="F200" i="4"/>
  <c r="G200" i="4"/>
  <c r="H200" i="4"/>
  <c r="I200" i="4"/>
  <c r="B201" i="4"/>
  <c r="C201" i="4"/>
  <c r="D201" i="4"/>
  <c r="E201" i="4"/>
  <c r="F201" i="4"/>
  <c r="G201" i="4"/>
  <c r="H201" i="4"/>
  <c r="I201" i="4"/>
  <c r="B202" i="4"/>
  <c r="C202" i="4"/>
  <c r="D202" i="4"/>
  <c r="E202" i="4"/>
  <c r="F202" i="4"/>
  <c r="G202" i="4"/>
  <c r="H202" i="4"/>
  <c r="I202" i="4"/>
  <c r="B203" i="4"/>
  <c r="C203" i="4"/>
  <c r="D203" i="4"/>
  <c r="E203" i="4"/>
  <c r="F203" i="4"/>
  <c r="G203" i="4"/>
  <c r="H203" i="4"/>
  <c r="I203" i="4"/>
  <c r="B204" i="4"/>
  <c r="C204" i="4"/>
  <c r="D204" i="4"/>
  <c r="E204" i="4"/>
  <c r="F204" i="4"/>
  <c r="G204" i="4"/>
  <c r="H204" i="4"/>
  <c r="I204" i="4"/>
  <c r="B205" i="4"/>
  <c r="C205" i="4"/>
  <c r="D205" i="4"/>
  <c r="E205" i="4"/>
  <c r="F205" i="4"/>
  <c r="G205" i="4"/>
  <c r="H205" i="4"/>
  <c r="I205" i="4"/>
  <c r="B206" i="4"/>
  <c r="C206" i="4"/>
  <c r="D206" i="4"/>
  <c r="E206" i="4"/>
  <c r="F206" i="4"/>
  <c r="G206" i="4"/>
  <c r="H206" i="4"/>
  <c r="I206" i="4"/>
  <c r="B207" i="4"/>
  <c r="C207" i="4"/>
  <c r="D207" i="4"/>
  <c r="E207" i="4"/>
  <c r="F207" i="4"/>
  <c r="G207" i="4"/>
  <c r="H207" i="4"/>
  <c r="I207" i="4"/>
  <c r="B208" i="4"/>
  <c r="C208" i="4"/>
  <c r="D208" i="4"/>
  <c r="E208" i="4"/>
  <c r="F208" i="4"/>
  <c r="G208" i="4"/>
  <c r="H208" i="4"/>
  <c r="I208" i="4"/>
  <c r="B209" i="4"/>
  <c r="C209" i="4"/>
  <c r="D209" i="4"/>
  <c r="E209" i="4"/>
  <c r="F209" i="4"/>
  <c r="G209" i="4"/>
  <c r="H209" i="4"/>
  <c r="I209" i="4"/>
  <c r="B210" i="4"/>
  <c r="C210" i="4"/>
  <c r="D210" i="4"/>
  <c r="E210" i="4"/>
  <c r="F210" i="4"/>
  <c r="G210" i="4"/>
  <c r="H210" i="4"/>
  <c r="I210" i="4"/>
  <c r="B211" i="4"/>
  <c r="C211" i="4"/>
  <c r="D211" i="4"/>
  <c r="E211" i="4"/>
  <c r="F211" i="4"/>
  <c r="G211" i="4"/>
  <c r="H211" i="4"/>
  <c r="I211" i="4"/>
  <c r="B212" i="4"/>
  <c r="C212" i="4"/>
  <c r="D212" i="4"/>
  <c r="E212" i="4"/>
  <c r="F212" i="4"/>
  <c r="G212" i="4"/>
  <c r="H212" i="4"/>
  <c r="I212" i="4"/>
  <c r="B186" i="4"/>
  <c r="C186" i="4"/>
  <c r="D186" i="4"/>
  <c r="E186" i="4"/>
  <c r="F186" i="4"/>
  <c r="G186" i="4"/>
  <c r="H186" i="4"/>
  <c r="I186" i="4"/>
  <c r="B187" i="4"/>
  <c r="C187" i="4"/>
  <c r="D187" i="4"/>
  <c r="E187" i="4"/>
  <c r="F187" i="4"/>
  <c r="G187" i="4"/>
  <c r="H187" i="4"/>
  <c r="I187" i="4"/>
  <c r="B188" i="4"/>
  <c r="C188" i="4"/>
  <c r="D188" i="4"/>
  <c r="E188" i="4"/>
  <c r="F188" i="4"/>
  <c r="G188" i="4"/>
  <c r="H188" i="4"/>
  <c r="I188" i="4"/>
  <c r="B189" i="4"/>
  <c r="C189" i="4"/>
  <c r="D189" i="4"/>
  <c r="E189" i="4"/>
  <c r="F189" i="4"/>
  <c r="G189" i="4"/>
  <c r="H189" i="4"/>
  <c r="I189" i="4"/>
  <c r="B190" i="4"/>
  <c r="C190" i="4"/>
  <c r="D190" i="4"/>
  <c r="E190" i="4"/>
  <c r="F190" i="4"/>
  <c r="G190" i="4"/>
  <c r="H190" i="4"/>
  <c r="I190" i="4"/>
  <c r="B191" i="4"/>
  <c r="C191" i="4"/>
  <c r="D191" i="4"/>
  <c r="E191" i="4"/>
  <c r="F191" i="4"/>
  <c r="G191" i="4"/>
  <c r="H191" i="4"/>
  <c r="I191" i="4"/>
  <c r="B192" i="4"/>
  <c r="C192" i="4"/>
  <c r="D192" i="4"/>
  <c r="E192" i="4"/>
  <c r="F192" i="4"/>
  <c r="G192" i="4"/>
  <c r="H192" i="4"/>
  <c r="I192" i="4"/>
  <c r="B193" i="4"/>
  <c r="C193" i="4"/>
  <c r="D193" i="4"/>
  <c r="E193" i="4"/>
  <c r="F193" i="4"/>
  <c r="G193" i="4"/>
  <c r="H193" i="4"/>
  <c r="I193" i="4"/>
  <c r="B194" i="4"/>
  <c r="C194" i="4"/>
  <c r="D194" i="4"/>
  <c r="E194" i="4"/>
  <c r="F194" i="4"/>
  <c r="G194" i="4"/>
  <c r="H194" i="4"/>
  <c r="I194" i="4"/>
  <c r="B195" i="4"/>
  <c r="C195" i="4"/>
  <c r="D195" i="4"/>
  <c r="E195" i="4"/>
  <c r="F195" i="4"/>
  <c r="G195" i="4"/>
  <c r="H195" i="4"/>
  <c r="I195" i="4"/>
  <c r="B196" i="4"/>
  <c r="C196" i="4"/>
  <c r="D196" i="4"/>
  <c r="E196" i="4"/>
  <c r="F196" i="4"/>
  <c r="G196" i="4"/>
  <c r="H196" i="4"/>
  <c r="I196" i="4"/>
  <c r="L1238" i="1"/>
  <c r="K1238" i="1"/>
  <c r="K1233" i="1" s="1"/>
  <c r="K192" i="4" s="1"/>
  <c r="J1238" i="1"/>
  <c r="J1233" i="1" s="1"/>
  <c r="J192" i="4" s="1"/>
  <c r="L1232" i="1"/>
  <c r="K1232" i="1"/>
  <c r="K1227" i="1" s="1"/>
  <c r="K191" i="4" s="1"/>
  <c r="J1232" i="1"/>
  <c r="J1227" i="1" s="1"/>
  <c r="L1226" i="1"/>
  <c r="K1226" i="1"/>
  <c r="K1221" i="1" s="1"/>
  <c r="K190" i="4" s="1"/>
  <c r="J1226" i="1"/>
  <c r="J1221" i="1"/>
  <c r="J190" i="4" s="1"/>
  <c r="L1220" i="1"/>
  <c r="K1220" i="1"/>
  <c r="K1215" i="1" s="1"/>
  <c r="K189" i="4" s="1"/>
  <c r="J1220" i="1"/>
  <c r="J1215" i="1" s="1"/>
  <c r="L1215" i="1" s="1"/>
  <c r="L189" i="4" s="1"/>
  <c r="L1214" i="1"/>
  <c r="K1214" i="1"/>
  <c r="K1209" i="1" s="1"/>
  <c r="K188" i="4" s="1"/>
  <c r="J1214" i="1"/>
  <c r="J1209" i="1"/>
  <c r="J188" i="4" s="1"/>
  <c r="L1208" i="1"/>
  <c r="K1208" i="1"/>
  <c r="K1196" i="1" s="1"/>
  <c r="K187" i="4" s="1"/>
  <c r="J1208" i="1"/>
  <c r="J1196" i="1" s="1"/>
  <c r="J187" i="4" s="1"/>
  <c r="L1195" i="1"/>
  <c r="K1195" i="1"/>
  <c r="K1190" i="1" s="1"/>
  <c r="K186" i="4" s="1"/>
  <c r="J1195" i="1"/>
  <c r="J1190" i="1" s="1"/>
  <c r="J186" i="4" s="1"/>
  <c r="L1189" i="1"/>
  <c r="K1189" i="1"/>
  <c r="K1184" i="1" s="1"/>
  <c r="K185" i="4" s="1"/>
  <c r="J1189" i="1"/>
  <c r="J1184" i="1" s="1"/>
  <c r="L1183" i="1"/>
  <c r="K1183" i="1"/>
  <c r="K1177" i="1" s="1"/>
  <c r="K184" i="4" s="1"/>
  <c r="J1183" i="1"/>
  <c r="J1177" i="1" s="1"/>
  <c r="L1176" i="1"/>
  <c r="K1176" i="1"/>
  <c r="K1171" i="1" s="1"/>
  <c r="K183" i="4" s="1"/>
  <c r="J1176" i="1"/>
  <c r="J1171" i="1" s="1"/>
  <c r="L1170" i="1"/>
  <c r="K1170" i="1"/>
  <c r="K1165" i="1" s="1"/>
  <c r="K182" i="4" s="1"/>
  <c r="J1170" i="1"/>
  <c r="J1165" i="1" s="1"/>
  <c r="L1164" i="1"/>
  <c r="K1164" i="1"/>
  <c r="K1159" i="1" s="1"/>
  <c r="K181" i="4" s="1"/>
  <c r="J1164" i="1"/>
  <c r="J1159" i="1" s="1"/>
  <c r="L1158" i="1"/>
  <c r="K1158" i="1"/>
  <c r="K1153" i="1" s="1"/>
  <c r="K180" i="4" s="1"/>
  <c r="J1158" i="1"/>
  <c r="J1153" i="1" s="1"/>
  <c r="L1152" i="1"/>
  <c r="K1152" i="1"/>
  <c r="K1147" i="1" s="1"/>
  <c r="K179" i="4" s="1"/>
  <c r="J1152" i="1"/>
  <c r="J1147" i="1"/>
  <c r="L1146" i="1"/>
  <c r="K1146" i="1"/>
  <c r="K1141" i="1" s="1"/>
  <c r="K178" i="4" s="1"/>
  <c r="J1146" i="1"/>
  <c r="J1141" i="1" s="1"/>
  <c r="L1140" i="1"/>
  <c r="K1140" i="1"/>
  <c r="K1135" i="1" s="1"/>
  <c r="K177" i="4" s="1"/>
  <c r="J1140" i="1"/>
  <c r="J1135" i="1" s="1"/>
  <c r="J177" i="4" s="1"/>
  <c r="L1134" i="1"/>
  <c r="K1134" i="1"/>
  <c r="K1129" i="1" s="1"/>
  <c r="K176" i="4" s="1"/>
  <c r="J1134" i="1"/>
  <c r="J1129" i="1" s="1"/>
  <c r="B178" i="4"/>
  <c r="C178" i="4"/>
  <c r="D178" i="4"/>
  <c r="E178" i="4"/>
  <c r="F178" i="4"/>
  <c r="G178" i="4"/>
  <c r="H178" i="4"/>
  <c r="I178" i="4"/>
  <c r="B179" i="4"/>
  <c r="C179" i="4"/>
  <c r="D179" i="4"/>
  <c r="E179" i="4"/>
  <c r="F179" i="4"/>
  <c r="G179" i="4"/>
  <c r="H179" i="4"/>
  <c r="I179" i="4"/>
  <c r="B180" i="4"/>
  <c r="C180" i="4"/>
  <c r="D180" i="4"/>
  <c r="E180" i="4"/>
  <c r="F180" i="4"/>
  <c r="G180" i="4"/>
  <c r="H180" i="4"/>
  <c r="I180" i="4"/>
  <c r="B181" i="4"/>
  <c r="C181" i="4"/>
  <c r="D181" i="4"/>
  <c r="E181" i="4"/>
  <c r="F181" i="4"/>
  <c r="G181" i="4"/>
  <c r="H181" i="4"/>
  <c r="I181" i="4"/>
  <c r="B182" i="4"/>
  <c r="C182" i="4"/>
  <c r="D182" i="4"/>
  <c r="E182" i="4"/>
  <c r="F182" i="4"/>
  <c r="G182" i="4"/>
  <c r="H182" i="4"/>
  <c r="I182" i="4"/>
  <c r="B183" i="4"/>
  <c r="C183" i="4"/>
  <c r="D183" i="4"/>
  <c r="E183" i="4"/>
  <c r="F183" i="4"/>
  <c r="G183" i="4"/>
  <c r="H183" i="4"/>
  <c r="I183" i="4"/>
  <c r="B184" i="4"/>
  <c r="C184" i="4"/>
  <c r="D184" i="4"/>
  <c r="E184" i="4"/>
  <c r="F184" i="4"/>
  <c r="G184" i="4"/>
  <c r="H184" i="4"/>
  <c r="I184" i="4"/>
  <c r="B185" i="4"/>
  <c r="C185" i="4"/>
  <c r="D185" i="4"/>
  <c r="E185" i="4"/>
  <c r="F185" i="4"/>
  <c r="G185" i="4"/>
  <c r="H185" i="4"/>
  <c r="I185" i="4"/>
  <c r="B172" i="4"/>
  <c r="C172" i="4"/>
  <c r="D172" i="4"/>
  <c r="E172" i="4"/>
  <c r="F172" i="4"/>
  <c r="G172" i="4"/>
  <c r="H172" i="4"/>
  <c r="I172" i="4"/>
  <c r="B173" i="4"/>
  <c r="C173" i="4"/>
  <c r="D173" i="4"/>
  <c r="E173" i="4"/>
  <c r="F173" i="4"/>
  <c r="G173" i="4"/>
  <c r="H173" i="4"/>
  <c r="I173" i="4"/>
  <c r="B174" i="4"/>
  <c r="C174" i="4"/>
  <c r="D174" i="4"/>
  <c r="E174" i="4"/>
  <c r="F174" i="4"/>
  <c r="G174" i="4"/>
  <c r="H174" i="4"/>
  <c r="I174" i="4"/>
  <c r="B175" i="4"/>
  <c r="C175" i="4"/>
  <c r="D175" i="4"/>
  <c r="E175" i="4"/>
  <c r="F175" i="4"/>
  <c r="G175" i="4"/>
  <c r="H175" i="4"/>
  <c r="I175" i="4"/>
  <c r="B176" i="4"/>
  <c r="C176" i="4"/>
  <c r="D176" i="4"/>
  <c r="E176" i="4"/>
  <c r="F176" i="4"/>
  <c r="G176" i="4"/>
  <c r="H176" i="4"/>
  <c r="I176" i="4"/>
  <c r="B177" i="4"/>
  <c r="C177" i="4"/>
  <c r="D177" i="4"/>
  <c r="E177" i="4"/>
  <c r="F177" i="4"/>
  <c r="G177" i="4"/>
  <c r="H177" i="4"/>
  <c r="I177" i="4"/>
  <c r="L663" i="1"/>
  <c r="K663" i="1"/>
  <c r="K658" i="1" s="1"/>
  <c r="J663" i="1"/>
  <c r="J658" i="1" s="1"/>
  <c r="L350" i="1"/>
  <c r="K350" i="1"/>
  <c r="K345" i="1" s="1"/>
  <c r="J350" i="1"/>
  <c r="J345" i="1" s="1"/>
  <c r="L344" i="1"/>
  <c r="K344" i="1"/>
  <c r="K339" i="1" s="1"/>
  <c r="J344" i="1"/>
  <c r="J339" i="1" s="1"/>
  <c r="L338" i="1"/>
  <c r="K338" i="1"/>
  <c r="K333" i="1" s="1"/>
  <c r="J338" i="1"/>
  <c r="J333" i="1" s="1"/>
  <c r="L332" i="1"/>
  <c r="K332" i="1"/>
  <c r="K327" i="1" s="1"/>
  <c r="J332" i="1"/>
  <c r="J327" i="1" s="1"/>
  <c r="L326" i="1"/>
  <c r="K326" i="1"/>
  <c r="K321" i="1" s="1"/>
  <c r="J326" i="1"/>
  <c r="J321" i="1" s="1"/>
  <c r="L14" i="1"/>
  <c r="K14" i="1"/>
  <c r="K9" i="1" s="1"/>
  <c r="J14" i="1"/>
  <c r="J9" i="1" s="1"/>
  <c r="L127" i="1"/>
  <c r="K127" i="1"/>
  <c r="K122" i="1" s="1"/>
  <c r="J127" i="1"/>
  <c r="J122" i="1" s="1"/>
  <c r="L320" i="1"/>
  <c r="K320" i="1"/>
  <c r="K315" i="1" s="1"/>
  <c r="J320" i="1"/>
  <c r="J315" i="1" s="1"/>
  <c r="L314" i="1"/>
  <c r="K314" i="1"/>
  <c r="K309" i="1" s="1"/>
  <c r="J314" i="1"/>
  <c r="J309" i="1" s="1"/>
  <c r="L308" i="1"/>
  <c r="K308" i="1"/>
  <c r="K303" i="1" s="1"/>
  <c r="J308" i="1"/>
  <c r="J303" i="1" s="1"/>
  <c r="L32" i="1"/>
  <c r="K32" i="1"/>
  <c r="K27" i="1" s="1"/>
  <c r="J32" i="1"/>
  <c r="J27" i="1" s="1"/>
  <c r="L564" i="1"/>
  <c r="K564" i="1"/>
  <c r="K559" i="1" s="1"/>
  <c r="J564" i="1"/>
  <c r="J559" i="1" s="1"/>
  <c r="K580" i="1"/>
  <c r="L546" i="1"/>
  <c r="K546" i="1"/>
  <c r="K541" i="1" s="1"/>
  <c r="J546" i="1"/>
  <c r="J541" i="1" s="1"/>
  <c r="J216" i="4" l="1"/>
  <c r="L1153" i="1"/>
  <c r="L180" i="4" s="1"/>
  <c r="L1281" i="1"/>
  <c r="L200" i="4" s="1"/>
  <c r="L1299" i="1"/>
  <c r="L203" i="4" s="1"/>
  <c r="J203" i="4"/>
  <c r="L1371" i="1"/>
  <c r="L215" i="4" s="1"/>
  <c r="J215" i="4"/>
  <c r="L1311" i="1"/>
  <c r="L205" i="4" s="1"/>
  <c r="L1257" i="1"/>
  <c r="L196" i="4" s="1"/>
  <c r="L1305" i="1"/>
  <c r="L204" i="4" s="1"/>
  <c r="J204" i="4"/>
  <c r="L1323" i="1"/>
  <c r="L207" i="4" s="1"/>
  <c r="J207" i="4"/>
  <c r="L1401" i="1"/>
  <c r="L220" i="4" s="1"/>
  <c r="J220" i="4"/>
  <c r="L1347" i="1"/>
  <c r="L211" i="4" s="1"/>
  <c r="J211" i="4"/>
  <c r="L1383" i="1"/>
  <c r="L217" i="4" s="1"/>
  <c r="J217" i="4"/>
  <c r="L1293" i="1"/>
  <c r="L202" i="4" s="1"/>
  <c r="J202" i="4"/>
  <c r="L1317" i="1"/>
  <c r="L206" i="4" s="1"/>
  <c r="J206" i="4"/>
  <c r="L1395" i="1"/>
  <c r="L219" i="4" s="1"/>
  <c r="J219" i="4"/>
  <c r="L1263" i="1"/>
  <c r="L197" i="4" s="1"/>
  <c r="J197" i="4"/>
  <c r="L1287" i="1"/>
  <c r="L201" i="4" s="1"/>
  <c r="J201" i="4"/>
  <c r="L1365" i="1"/>
  <c r="L214" i="4" s="1"/>
  <c r="J214" i="4"/>
  <c r="L1353" i="1"/>
  <c r="L212" i="4" s="1"/>
  <c r="J212" i="4"/>
  <c r="L1389" i="1"/>
  <c r="L218" i="4" s="1"/>
  <c r="J218" i="4"/>
  <c r="L1407" i="1"/>
  <c r="L221" i="4" s="1"/>
  <c r="J221" i="4"/>
  <c r="L1341" i="1"/>
  <c r="L210" i="4" s="1"/>
  <c r="L1335" i="1"/>
  <c r="L209" i="4" s="1"/>
  <c r="L1329" i="1"/>
  <c r="L208" i="4" s="1"/>
  <c r="L1359" i="1"/>
  <c r="L213" i="4" s="1"/>
  <c r="L1227" i="1"/>
  <c r="L191" i="4" s="1"/>
  <c r="J209" i="4"/>
  <c r="J205" i="4"/>
  <c r="J200" i="4"/>
  <c r="L1275" i="1"/>
  <c r="L199" i="4" s="1"/>
  <c r="J199" i="4"/>
  <c r="L1269" i="1"/>
  <c r="L198" i="4" s="1"/>
  <c r="J198" i="4"/>
  <c r="L1245" i="1"/>
  <c r="L194" i="4" s="1"/>
  <c r="J194" i="4"/>
  <c r="L1239" i="1"/>
  <c r="L193" i="4" s="1"/>
  <c r="J193" i="4"/>
  <c r="J196" i="4"/>
  <c r="L1233" i="1"/>
  <c r="L192" i="4" s="1"/>
  <c r="J189" i="4"/>
  <c r="L1251" i="1"/>
  <c r="L195" i="4" s="1"/>
  <c r="J191" i="4"/>
  <c r="L1221" i="1"/>
  <c r="L190" i="4" s="1"/>
  <c r="L1196" i="1"/>
  <c r="L187" i="4" s="1"/>
  <c r="L339" i="1"/>
  <c r="L1209" i="1"/>
  <c r="L188" i="4" s="1"/>
  <c r="L1177" i="1"/>
  <c r="L184" i="4" s="1"/>
  <c r="J184" i="4"/>
  <c r="L1184" i="1"/>
  <c r="L185" i="4" s="1"/>
  <c r="J185" i="4"/>
  <c r="L1190" i="1"/>
  <c r="L186" i="4" s="1"/>
  <c r="L1147" i="1"/>
  <c r="L179" i="4" s="1"/>
  <c r="L1129" i="1"/>
  <c r="L176" i="4" s="1"/>
  <c r="L1159" i="1"/>
  <c r="L181" i="4" s="1"/>
  <c r="J181" i="4"/>
  <c r="L1165" i="1"/>
  <c r="L182" i="4" s="1"/>
  <c r="J182" i="4"/>
  <c r="L1171" i="1"/>
  <c r="L183" i="4" s="1"/>
  <c r="J183" i="4"/>
  <c r="L315" i="1"/>
  <c r="J180" i="4"/>
  <c r="L1141" i="1"/>
  <c r="L178" i="4" s="1"/>
  <c r="J179" i="4"/>
  <c r="J176" i="4"/>
  <c r="J178" i="4"/>
  <c r="L1135" i="1"/>
  <c r="L177" i="4" s="1"/>
  <c r="L122" i="1"/>
  <c r="L333" i="1"/>
  <c r="L9" i="1"/>
  <c r="L658" i="1"/>
  <c r="L327" i="1"/>
  <c r="L345" i="1"/>
  <c r="L321" i="1"/>
  <c r="L309" i="1"/>
  <c r="L303" i="1"/>
  <c r="L27" i="1"/>
  <c r="L559" i="1"/>
  <c r="L541" i="1"/>
  <c r="F169" i="4" l="1"/>
  <c r="L501" i="1"/>
  <c r="K501" i="1"/>
  <c r="K496" i="1" s="1"/>
  <c r="J501" i="1"/>
  <c r="J496" i="1" s="1"/>
  <c r="L487" i="1"/>
  <c r="K487" i="1"/>
  <c r="K481" i="1" s="1"/>
  <c r="J487" i="1"/>
  <c r="J481" i="1" s="1"/>
  <c r="L480" i="1"/>
  <c r="K480" i="1"/>
  <c r="K475" i="1" s="1"/>
  <c r="J480" i="1"/>
  <c r="J475" i="1" s="1"/>
  <c r="L444" i="1"/>
  <c r="K444" i="1"/>
  <c r="K439" i="1" s="1"/>
  <c r="J444" i="1"/>
  <c r="J439" i="1" s="1"/>
  <c r="L389" i="1"/>
  <c r="K389" i="1"/>
  <c r="K384" i="1" s="1"/>
  <c r="J389" i="1"/>
  <c r="J384" i="1" s="1"/>
  <c r="L395" i="1"/>
  <c r="J395" i="1"/>
  <c r="J390" i="1" s="1"/>
  <c r="K395" i="1"/>
  <c r="K390" i="1" s="1"/>
  <c r="B169" i="4"/>
  <c r="C169" i="4"/>
  <c r="D169" i="4"/>
  <c r="E169" i="4"/>
  <c r="H169" i="4"/>
  <c r="I169" i="4"/>
  <c r="B170" i="4"/>
  <c r="C170" i="4"/>
  <c r="D170" i="4"/>
  <c r="E170" i="4"/>
  <c r="H170" i="4"/>
  <c r="I170" i="4"/>
  <c r="B171" i="4"/>
  <c r="C171" i="4"/>
  <c r="D171" i="4"/>
  <c r="E171" i="4"/>
  <c r="G171" i="4"/>
  <c r="H171" i="4"/>
  <c r="I171" i="4"/>
  <c r="B160" i="4"/>
  <c r="C160" i="4"/>
  <c r="D160" i="4"/>
  <c r="E160" i="4"/>
  <c r="F160" i="4"/>
  <c r="G160" i="4"/>
  <c r="H160" i="4"/>
  <c r="I160" i="4"/>
  <c r="B161" i="4"/>
  <c r="C161" i="4"/>
  <c r="D161" i="4"/>
  <c r="E161" i="4"/>
  <c r="F161" i="4"/>
  <c r="G161" i="4"/>
  <c r="H161" i="4"/>
  <c r="I161" i="4"/>
  <c r="B162" i="4"/>
  <c r="C162" i="4"/>
  <c r="D162" i="4"/>
  <c r="E162" i="4"/>
  <c r="F162" i="4"/>
  <c r="G162" i="4"/>
  <c r="H162" i="4"/>
  <c r="I162" i="4"/>
  <c r="B163" i="4"/>
  <c r="C163" i="4"/>
  <c r="D163" i="4"/>
  <c r="E163" i="4"/>
  <c r="F163" i="4"/>
  <c r="G163" i="4"/>
  <c r="H163" i="4"/>
  <c r="I163" i="4"/>
  <c r="B164" i="4"/>
  <c r="C164" i="4"/>
  <c r="D164" i="4"/>
  <c r="E164" i="4"/>
  <c r="F164" i="4"/>
  <c r="G164" i="4"/>
  <c r="H164" i="4"/>
  <c r="I164" i="4"/>
  <c r="B165" i="4"/>
  <c r="C165" i="4"/>
  <c r="D165" i="4"/>
  <c r="E165" i="4"/>
  <c r="F165" i="4"/>
  <c r="G165" i="4"/>
  <c r="H165" i="4"/>
  <c r="I165" i="4"/>
  <c r="B166" i="4"/>
  <c r="C166" i="4"/>
  <c r="D166" i="4"/>
  <c r="E166" i="4"/>
  <c r="F166" i="4"/>
  <c r="G166" i="4"/>
  <c r="H166" i="4"/>
  <c r="I166" i="4"/>
  <c r="B167" i="4"/>
  <c r="C167" i="4"/>
  <c r="D167" i="4"/>
  <c r="E167" i="4"/>
  <c r="F167" i="4"/>
  <c r="G167" i="4"/>
  <c r="H167" i="4"/>
  <c r="I167" i="4"/>
  <c r="B168" i="4"/>
  <c r="C168" i="4"/>
  <c r="D168" i="4"/>
  <c r="E168" i="4"/>
  <c r="F168" i="4"/>
  <c r="G168" i="4"/>
  <c r="H168" i="4"/>
  <c r="I168" i="4"/>
  <c r="L952" i="1"/>
  <c r="K952" i="1"/>
  <c r="K947" i="1" s="1"/>
  <c r="J952" i="1"/>
  <c r="J947" i="1" s="1"/>
  <c r="L934" i="1"/>
  <c r="K934" i="1"/>
  <c r="K929" i="1" s="1"/>
  <c r="J934" i="1"/>
  <c r="J929" i="1" s="1"/>
  <c r="L928" i="1"/>
  <c r="K928" i="1"/>
  <c r="K923" i="1" s="1"/>
  <c r="J928" i="1"/>
  <c r="J923" i="1" s="1"/>
  <c r="L916" i="1"/>
  <c r="K916" i="1"/>
  <c r="K911" i="1" s="1"/>
  <c r="J916" i="1"/>
  <c r="J911" i="1" s="1"/>
  <c r="L717" i="1"/>
  <c r="K717" i="1"/>
  <c r="K712" i="1" s="1"/>
  <c r="J717" i="1"/>
  <c r="J712" i="1" s="1"/>
  <c r="L843" i="1"/>
  <c r="K843" i="1"/>
  <c r="K838" i="1" s="1"/>
  <c r="J843" i="1"/>
  <c r="J838" i="1" s="1"/>
  <c r="L1062" i="1"/>
  <c r="K1062" i="1"/>
  <c r="K1057" i="1" s="1"/>
  <c r="K170" i="4" s="1"/>
  <c r="J1062" i="1"/>
  <c r="J1057" i="1" s="1"/>
  <c r="J170" i="4" s="1"/>
  <c r="L669" i="1"/>
  <c r="K669" i="1"/>
  <c r="K664" i="1" s="1"/>
  <c r="J669" i="1"/>
  <c r="J664" i="1" s="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2" i="4"/>
  <c r="F24" i="6"/>
  <c r="G24" i="6"/>
  <c r="E24" i="6"/>
  <c r="C145" i="4"/>
  <c r="D145" i="4"/>
  <c r="E145" i="4"/>
  <c r="F145" i="4"/>
  <c r="G145" i="4"/>
  <c r="H145" i="4"/>
  <c r="I145" i="4"/>
  <c r="C146" i="4"/>
  <c r="D146" i="4"/>
  <c r="E146" i="4"/>
  <c r="F146" i="4"/>
  <c r="G146" i="4"/>
  <c r="H146" i="4"/>
  <c r="I146" i="4"/>
  <c r="C147" i="4"/>
  <c r="D147" i="4"/>
  <c r="E147" i="4"/>
  <c r="F147" i="4"/>
  <c r="G147" i="4"/>
  <c r="H147" i="4"/>
  <c r="I147" i="4"/>
  <c r="C148" i="4"/>
  <c r="D148" i="4"/>
  <c r="E148" i="4"/>
  <c r="F148" i="4"/>
  <c r="G148" i="4"/>
  <c r="H148" i="4"/>
  <c r="I148" i="4"/>
  <c r="C149" i="4"/>
  <c r="D149" i="4"/>
  <c r="E149" i="4"/>
  <c r="F149" i="4"/>
  <c r="G149" i="4"/>
  <c r="H149" i="4"/>
  <c r="I149" i="4"/>
  <c r="C150" i="4"/>
  <c r="D150" i="4"/>
  <c r="E150" i="4"/>
  <c r="F150" i="4"/>
  <c r="G150" i="4"/>
  <c r="H150" i="4"/>
  <c r="I150" i="4"/>
  <c r="C151" i="4"/>
  <c r="D151" i="4"/>
  <c r="E151" i="4"/>
  <c r="F151" i="4"/>
  <c r="G151" i="4"/>
  <c r="H151" i="4"/>
  <c r="I151" i="4"/>
  <c r="C152" i="4"/>
  <c r="D152" i="4"/>
  <c r="E152" i="4"/>
  <c r="F152" i="4"/>
  <c r="G152" i="4"/>
  <c r="H152" i="4"/>
  <c r="I152" i="4"/>
  <c r="C153" i="4"/>
  <c r="D153" i="4"/>
  <c r="E153" i="4"/>
  <c r="F153" i="4"/>
  <c r="G153" i="4"/>
  <c r="H153" i="4"/>
  <c r="I153" i="4"/>
  <c r="C154" i="4"/>
  <c r="D154" i="4"/>
  <c r="E154" i="4"/>
  <c r="F154" i="4"/>
  <c r="G154" i="4"/>
  <c r="H154" i="4"/>
  <c r="I154" i="4"/>
  <c r="C155" i="4"/>
  <c r="D155" i="4"/>
  <c r="E155" i="4"/>
  <c r="F155" i="4"/>
  <c r="G155" i="4"/>
  <c r="H155" i="4"/>
  <c r="I155" i="4"/>
  <c r="C156" i="4"/>
  <c r="D156" i="4"/>
  <c r="E156" i="4"/>
  <c r="F156" i="4"/>
  <c r="G156" i="4"/>
  <c r="H156" i="4"/>
  <c r="I156" i="4"/>
  <c r="C157" i="4"/>
  <c r="D157" i="4"/>
  <c r="E157" i="4"/>
  <c r="F157" i="4"/>
  <c r="G157" i="4"/>
  <c r="H157" i="4"/>
  <c r="I157" i="4"/>
  <c r="C158" i="4"/>
  <c r="D158" i="4"/>
  <c r="E158" i="4"/>
  <c r="F158" i="4"/>
  <c r="G158" i="4"/>
  <c r="H158" i="4"/>
  <c r="I158" i="4"/>
  <c r="C159" i="4"/>
  <c r="D159" i="4"/>
  <c r="E159" i="4"/>
  <c r="F159" i="4"/>
  <c r="G159" i="4"/>
  <c r="H159" i="4"/>
  <c r="I159" i="4"/>
  <c r="L1128" i="1"/>
  <c r="K1128" i="1"/>
  <c r="K1105" i="1" s="1"/>
  <c r="J1128" i="1"/>
  <c r="J1105" i="1" s="1"/>
  <c r="L1104" i="1"/>
  <c r="K1104" i="1"/>
  <c r="K1081" i="1" s="1"/>
  <c r="K174" i="4" s="1"/>
  <c r="J1104" i="1"/>
  <c r="J1081" i="1" s="1"/>
  <c r="J174" i="4" s="1"/>
  <c r="L1008" i="1"/>
  <c r="K1008" i="1"/>
  <c r="K1002" i="1" s="1"/>
  <c r="J1008" i="1"/>
  <c r="J1002" i="1" s="1"/>
  <c r="L1044" i="1"/>
  <c r="K1044" i="1"/>
  <c r="K1039" i="1" s="1"/>
  <c r="K167" i="4" s="1"/>
  <c r="J1044" i="1"/>
  <c r="J1039" i="1" s="1"/>
  <c r="J167" i="4" s="1"/>
  <c r="L1038" i="1"/>
  <c r="K1038" i="1"/>
  <c r="K1033" i="1" s="1"/>
  <c r="K166" i="4" s="1"/>
  <c r="J1038" i="1"/>
  <c r="J1033" i="1" s="1"/>
  <c r="J166" i="4" s="1"/>
  <c r="L1032" i="1"/>
  <c r="K1032" i="1"/>
  <c r="K1027" i="1" s="1"/>
  <c r="K165" i="4" s="1"/>
  <c r="J1032" i="1"/>
  <c r="J1027" i="1" s="1"/>
  <c r="J165" i="4" s="1"/>
  <c r="L1026" i="1"/>
  <c r="K1026" i="1"/>
  <c r="K1021" i="1" s="1"/>
  <c r="K164" i="4" s="1"/>
  <c r="J1026" i="1"/>
  <c r="J1021" i="1" s="1"/>
  <c r="J164" i="4" s="1"/>
  <c r="L983" i="1"/>
  <c r="K983" i="1"/>
  <c r="K978" i="1" s="1"/>
  <c r="J983" i="1"/>
  <c r="J978" i="1" s="1"/>
  <c r="L977" i="1"/>
  <c r="K977" i="1"/>
  <c r="K972" i="1" s="1"/>
  <c r="J977" i="1"/>
  <c r="J972" i="1" s="1"/>
  <c r="L971" i="1"/>
  <c r="K971" i="1"/>
  <c r="K966" i="1" s="1"/>
  <c r="L965" i="1"/>
  <c r="K965" i="1"/>
  <c r="K960" i="1" s="1"/>
  <c r="J965" i="1"/>
  <c r="J960" i="1" s="1"/>
  <c r="L1074" i="1"/>
  <c r="K1074" i="1"/>
  <c r="K1069" i="1" s="1"/>
  <c r="J1074" i="1"/>
  <c r="J1069" i="1" s="1"/>
  <c r="J172" i="4" s="1"/>
  <c r="C144" i="4"/>
  <c r="D144" i="4"/>
  <c r="E144" i="4"/>
  <c r="F144" i="4"/>
  <c r="G144" i="4"/>
  <c r="H144" i="4"/>
  <c r="I144" i="4"/>
  <c r="I122" i="4"/>
  <c r="I123" i="4"/>
  <c r="I124" i="4"/>
  <c r="I125" i="4"/>
  <c r="I126" i="4"/>
  <c r="I127" i="4"/>
  <c r="I128" i="4"/>
  <c r="I129" i="4"/>
  <c r="I130" i="4"/>
  <c r="I131" i="4"/>
  <c r="I132" i="4"/>
  <c r="I133" i="4"/>
  <c r="I134" i="4"/>
  <c r="I135" i="4"/>
  <c r="I136" i="4"/>
  <c r="I137" i="4"/>
  <c r="I138" i="4"/>
  <c r="I139" i="4"/>
  <c r="I140" i="4"/>
  <c r="I141" i="4"/>
  <c r="I142" i="4"/>
  <c r="I143" i="4"/>
  <c r="I102" i="4"/>
  <c r="I103" i="4"/>
  <c r="I104" i="4"/>
  <c r="I105" i="4"/>
  <c r="I106" i="4"/>
  <c r="I107" i="4"/>
  <c r="I108" i="4"/>
  <c r="I109" i="4"/>
  <c r="I110" i="4"/>
  <c r="I111" i="4"/>
  <c r="I112" i="4"/>
  <c r="I113" i="4"/>
  <c r="I114" i="4"/>
  <c r="I115" i="4"/>
  <c r="I116" i="4"/>
  <c r="I117" i="4"/>
  <c r="I118" i="4"/>
  <c r="I119" i="4"/>
  <c r="I120" i="4"/>
  <c r="I121" i="4"/>
  <c r="I82" i="4"/>
  <c r="I83" i="4"/>
  <c r="I84" i="4"/>
  <c r="I85" i="4"/>
  <c r="I86" i="4"/>
  <c r="I87" i="4"/>
  <c r="I88" i="4"/>
  <c r="I89" i="4"/>
  <c r="I90" i="4"/>
  <c r="I91" i="4"/>
  <c r="I92" i="4"/>
  <c r="I93" i="4"/>
  <c r="I94" i="4"/>
  <c r="I95" i="4"/>
  <c r="I96" i="4"/>
  <c r="I97" i="4"/>
  <c r="I98" i="4"/>
  <c r="I99" i="4"/>
  <c r="I100" i="4"/>
  <c r="I101" i="4"/>
  <c r="I68" i="4"/>
  <c r="I69" i="4"/>
  <c r="I70" i="4"/>
  <c r="I71" i="4"/>
  <c r="I72" i="4"/>
  <c r="I73" i="4"/>
  <c r="I74" i="4"/>
  <c r="I75" i="4"/>
  <c r="I76" i="4"/>
  <c r="I77" i="4"/>
  <c r="I78" i="4"/>
  <c r="I79" i="4"/>
  <c r="I80" i="4"/>
  <c r="I81" i="4"/>
  <c r="I51" i="4"/>
  <c r="I52" i="4"/>
  <c r="I53" i="4"/>
  <c r="I54" i="4"/>
  <c r="I55" i="4"/>
  <c r="I56" i="4"/>
  <c r="I57" i="4"/>
  <c r="I58" i="4"/>
  <c r="I59" i="4"/>
  <c r="I60" i="4"/>
  <c r="I61" i="4"/>
  <c r="I62" i="4"/>
  <c r="I63" i="4"/>
  <c r="I64" i="4"/>
  <c r="I65" i="4"/>
  <c r="I66" i="4"/>
  <c r="I67" i="4"/>
  <c r="I29" i="4"/>
  <c r="I30" i="4"/>
  <c r="I31" i="4"/>
  <c r="I32" i="4"/>
  <c r="I33" i="4"/>
  <c r="I34" i="4"/>
  <c r="I35" i="4"/>
  <c r="I36" i="4"/>
  <c r="I37" i="4"/>
  <c r="I38" i="4"/>
  <c r="I39" i="4"/>
  <c r="I40" i="4"/>
  <c r="I41" i="4"/>
  <c r="I42" i="4"/>
  <c r="I43" i="4"/>
  <c r="I44" i="4"/>
  <c r="I45" i="4"/>
  <c r="I46" i="4"/>
  <c r="I47" i="4"/>
  <c r="I48" i="4"/>
  <c r="I49" i="4"/>
  <c r="I50" i="4"/>
  <c r="I3" i="4"/>
  <c r="I4" i="4"/>
  <c r="I5" i="4"/>
  <c r="I6" i="4"/>
  <c r="I7" i="4"/>
  <c r="I8" i="4"/>
  <c r="I9" i="4"/>
  <c r="I10" i="4"/>
  <c r="I11" i="4"/>
  <c r="I12" i="4"/>
  <c r="I13" i="4"/>
  <c r="I14" i="4"/>
  <c r="I15" i="4"/>
  <c r="I16" i="4"/>
  <c r="I17" i="4"/>
  <c r="I18" i="4"/>
  <c r="I19" i="4"/>
  <c r="I20" i="4"/>
  <c r="I21" i="4"/>
  <c r="I22" i="4"/>
  <c r="I23" i="4"/>
  <c r="I24" i="4"/>
  <c r="I25" i="4"/>
  <c r="I26" i="4"/>
  <c r="I27" i="4"/>
  <c r="I28" i="4"/>
  <c r="I2" i="4"/>
  <c r="J957" i="1"/>
  <c r="K373" i="1"/>
  <c r="K372" i="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2" i="4"/>
  <c r="K474" i="1"/>
  <c r="K469" i="1" s="1"/>
  <c r="L474" i="1"/>
  <c r="J474" i="1"/>
  <c r="J469" i="1" s="1"/>
  <c r="K172" i="4" l="1"/>
  <c r="K161" i="4"/>
  <c r="K175" i="4"/>
  <c r="J161" i="4"/>
  <c r="J175" i="4"/>
  <c r="J156" i="4"/>
  <c r="K156" i="4"/>
  <c r="L475" i="1"/>
  <c r="L496" i="1"/>
  <c r="G170" i="4"/>
  <c r="G169" i="4"/>
  <c r="F171" i="4"/>
  <c r="F170" i="4"/>
  <c r="L439" i="1"/>
  <c r="L481" i="1"/>
  <c r="L384" i="1"/>
  <c r="L390" i="1"/>
  <c r="L929" i="1"/>
  <c r="L712" i="1"/>
  <c r="L947" i="1"/>
  <c r="L838" i="1"/>
  <c r="L911" i="1"/>
  <c r="L923" i="1"/>
  <c r="K152" i="4"/>
  <c r="J152" i="4"/>
  <c r="L1057" i="1"/>
  <c r="L170" i="4" s="1"/>
  <c r="L664" i="1"/>
  <c r="L1105" i="1"/>
  <c r="L175" i="4" s="1"/>
  <c r="L1081" i="1"/>
  <c r="L174" i="4" s="1"/>
  <c r="L1002" i="1"/>
  <c r="L972" i="1"/>
  <c r="L1033" i="1"/>
  <c r="L166" i="4" s="1"/>
  <c r="L1039" i="1"/>
  <c r="L167" i="4" s="1"/>
  <c r="L1027" i="1"/>
  <c r="L165" i="4" s="1"/>
  <c r="L1021" i="1"/>
  <c r="L164" i="4" s="1"/>
  <c r="L978" i="1"/>
  <c r="L960" i="1"/>
  <c r="J971" i="1"/>
  <c r="J966" i="1" s="1"/>
  <c r="L966" i="1" s="1"/>
  <c r="L1069" i="1"/>
  <c r="L172" i="4" s="1"/>
  <c r="L469" i="1"/>
  <c r="K401" i="1"/>
  <c r="K367" i="1"/>
  <c r="K366" i="1"/>
  <c r="K399" i="1"/>
  <c r="L468" i="1"/>
  <c r="K468" i="1"/>
  <c r="K463" i="1" s="1"/>
  <c r="J468" i="1"/>
  <c r="J463" i="1" s="1"/>
  <c r="L462" i="1"/>
  <c r="K462" i="1"/>
  <c r="K457" i="1" s="1"/>
  <c r="J462" i="1"/>
  <c r="J457" i="1" s="1"/>
  <c r="L456" i="1"/>
  <c r="K456" i="1"/>
  <c r="K451" i="1" s="1"/>
  <c r="J456" i="1"/>
  <c r="J451" i="1" s="1"/>
  <c r="L450" i="1"/>
  <c r="K450" i="1"/>
  <c r="K445" i="1" s="1"/>
  <c r="J450" i="1"/>
  <c r="J445" i="1" s="1"/>
  <c r="L438" i="1"/>
  <c r="K438" i="1"/>
  <c r="K433" i="1" s="1"/>
  <c r="J438" i="1"/>
  <c r="J433" i="1" s="1"/>
  <c r="L432" i="1"/>
  <c r="K432" i="1"/>
  <c r="K427" i="1" s="1"/>
  <c r="J432" i="1"/>
  <c r="J427" i="1" s="1"/>
  <c r="L426" i="1"/>
  <c r="K426" i="1"/>
  <c r="K421" i="1" s="1"/>
  <c r="J426" i="1"/>
  <c r="J421" i="1" s="1"/>
  <c r="L570" i="1"/>
  <c r="K570" i="1"/>
  <c r="K565" i="1" s="1"/>
  <c r="J570" i="1"/>
  <c r="J565" i="1" s="1"/>
  <c r="L910" i="1"/>
  <c r="K910" i="1"/>
  <c r="K905" i="1" s="1"/>
  <c r="J910" i="1"/>
  <c r="J905" i="1" s="1"/>
  <c r="L850" i="1"/>
  <c r="K850" i="1"/>
  <c r="K844" i="1" s="1"/>
  <c r="J850" i="1"/>
  <c r="J844" i="1" s="1"/>
  <c r="L825" i="1"/>
  <c r="K825" i="1"/>
  <c r="K820" i="1" s="1"/>
  <c r="J825" i="1"/>
  <c r="J820" i="1" s="1"/>
  <c r="L819" i="1"/>
  <c r="K819" i="1"/>
  <c r="K814" i="1" s="1"/>
  <c r="J819" i="1"/>
  <c r="J814" i="1" s="1"/>
  <c r="L302" i="1"/>
  <c r="K302" i="1"/>
  <c r="K296" i="1" s="1"/>
  <c r="J302" i="1"/>
  <c r="J296" i="1" s="1"/>
  <c r="L383" i="1"/>
  <c r="K383" i="1"/>
  <c r="K378" i="1" s="1"/>
  <c r="K50" i="4" s="1"/>
  <c r="J383" i="1"/>
  <c r="J378" i="1" s="1"/>
  <c r="J50" i="4" s="1"/>
  <c r="L377" i="1"/>
  <c r="J377" i="1"/>
  <c r="J363" i="1" s="1"/>
  <c r="L495" i="1"/>
  <c r="K495" i="1"/>
  <c r="K488" i="1" s="1"/>
  <c r="J495" i="1"/>
  <c r="J488" i="1" s="1"/>
  <c r="L777" i="1"/>
  <c r="K777" i="1"/>
  <c r="K772" i="1" s="1"/>
  <c r="J777" i="1"/>
  <c r="J772" i="1" s="1"/>
  <c r="L771" i="1"/>
  <c r="K771" i="1"/>
  <c r="K766" i="1" s="1"/>
  <c r="J771" i="1"/>
  <c r="J766" i="1" s="1"/>
  <c r="L765" i="1"/>
  <c r="K765" i="1"/>
  <c r="K760" i="1" s="1"/>
  <c r="J765" i="1"/>
  <c r="J760" i="1" s="1"/>
  <c r="L759" i="1"/>
  <c r="K759" i="1"/>
  <c r="K754" i="1" s="1"/>
  <c r="J759" i="1"/>
  <c r="J754" i="1" s="1"/>
  <c r="L552" i="1"/>
  <c r="K552" i="1"/>
  <c r="K547" i="1" s="1"/>
  <c r="J552" i="1"/>
  <c r="J547" i="1" s="1"/>
  <c r="L268" i="1"/>
  <c r="K268" i="1"/>
  <c r="K263" i="1" s="1"/>
  <c r="J268" i="1"/>
  <c r="J263" i="1" s="1"/>
  <c r="L591" i="1"/>
  <c r="K591" i="1"/>
  <c r="K581" i="1" s="1"/>
  <c r="J591" i="1"/>
  <c r="J581" i="1" s="1"/>
  <c r="L522" i="1"/>
  <c r="K522" i="1"/>
  <c r="K516" i="1" s="1"/>
  <c r="J522" i="1"/>
  <c r="J516" i="1" s="1"/>
  <c r="L693" i="1"/>
  <c r="K693" i="1"/>
  <c r="K688" i="1" s="1"/>
  <c r="J693" i="1"/>
  <c r="J688" i="1" s="1"/>
  <c r="L657" i="1"/>
  <c r="K657" i="1"/>
  <c r="K652" i="1" s="1"/>
  <c r="J657" i="1"/>
  <c r="J652" i="1" s="1"/>
  <c r="L295" i="1"/>
  <c r="K295" i="1"/>
  <c r="K290" i="1" s="1"/>
  <c r="J295" i="1"/>
  <c r="J290" i="1" s="1"/>
  <c r="L274" i="1"/>
  <c r="K274" i="1"/>
  <c r="K269" i="1" s="1"/>
  <c r="J274" i="1"/>
  <c r="J269" i="1" s="1"/>
  <c r="L741" i="1"/>
  <c r="K741" i="1"/>
  <c r="K736" i="1" s="1"/>
  <c r="J741" i="1"/>
  <c r="J736" i="1" s="1"/>
  <c r="L735" i="1"/>
  <c r="K735" i="1"/>
  <c r="K730" i="1" s="1"/>
  <c r="J735" i="1"/>
  <c r="J730" i="1" s="1"/>
  <c r="L747" i="1"/>
  <c r="K747" i="1"/>
  <c r="K742" i="1" s="1"/>
  <c r="J747" i="1"/>
  <c r="J742" i="1" s="1"/>
  <c r="L922" i="1"/>
  <c r="K922" i="1"/>
  <c r="K917" i="1" s="1"/>
  <c r="J922" i="1"/>
  <c r="J917" i="1" s="1"/>
  <c r="L603" i="1"/>
  <c r="K603" i="1"/>
  <c r="K598" i="1" s="1"/>
  <c r="J603" i="1"/>
  <c r="J598" i="1" s="1"/>
  <c r="L289" i="1"/>
  <c r="K289" i="1"/>
  <c r="K283" i="1" s="1"/>
  <c r="K44" i="4" s="1"/>
  <c r="J289" i="1"/>
  <c r="J283" i="1" s="1"/>
  <c r="J44" i="4" s="1"/>
  <c r="J277" i="1"/>
  <c r="J282" i="1" s="1"/>
  <c r="J275" i="1" s="1"/>
  <c r="L282" i="1"/>
  <c r="K282" i="1"/>
  <c r="K275" i="1" s="1"/>
  <c r="L515" i="1"/>
  <c r="K515" i="1"/>
  <c r="K508" i="1" s="1"/>
  <c r="J515" i="1"/>
  <c r="J508" i="1" s="1"/>
  <c r="L597" i="1"/>
  <c r="K597" i="1"/>
  <c r="K592" i="1" s="1"/>
  <c r="J597" i="1"/>
  <c r="J592" i="1" s="1"/>
  <c r="L627" i="1"/>
  <c r="K627" i="1"/>
  <c r="K622" i="1" s="1"/>
  <c r="J627" i="1"/>
  <c r="J622" i="1" s="1"/>
  <c r="L621" i="1"/>
  <c r="K621" i="1"/>
  <c r="K616" i="1" s="1"/>
  <c r="J621" i="1"/>
  <c r="J616" i="1" s="1"/>
  <c r="L615" i="1"/>
  <c r="K615" i="1"/>
  <c r="K610" i="1" s="1"/>
  <c r="J615" i="1"/>
  <c r="J610" i="1" s="1"/>
  <c r="L609" i="1"/>
  <c r="K609" i="1"/>
  <c r="K604" i="1" s="1"/>
  <c r="J609" i="1"/>
  <c r="J604" i="1" s="1"/>
  <c r="L580" i="1"/>
  <c r="K571" i="1"/>
  <c r="J580" i="1"/>
  <c r="J571" i="1" s="1"/>
  <c r="L558" i="1"/>
  <c r="K558" i="1"/>
  <c r="K553" i="1" s="1"/>
  <c r="J558" i="1"/>
  <c r="J553" i="1" s="1"/>
  <c r="L540" i="1"/>
  <c r="K540" i="1"/>
  <c r="K535" i="1" s="1"/>
  <c r="J540" i="1"/>
  <c r="J535" i="1" s="1"/>
  <c r="L534" i="1"/>
  <c r="K534" i="1"/>
  <c r="K529" i="1" s="1"/>
  <c r="J534" i="1"/>
  <c r="J529" i="1" s="1"/>
  <c r="L528" i="1"/>
  <c r="K528" i="1"/>
  <c r="K523" i="1" s="1"/>
  <c r="J528" i="1"/>
  <c r="J523" i="1" s="1"/>
  <c r="L807" i="1"/>
  <c r="K807" i="1"/>
  <c r="K802" i="1" s="1"/>
  <c r="J807" i="1"/>
  <c r="J802" i="1" s="1"/>
  <c r="L420" i="1"/>
  <c r="K420" i="1"/>
  <c r="K414" i="1" s="1"/>
  <c r="J420" i="1"/>
  <c r="J414" i="1" s="1"/>
  <c r="L413" i="1"/>
  <c r="K413" i="1"/>
  <c r="K407" i="1" s="1"/>
  <c r="K52" i="4" s="1"/>
  <c r="J413" i="1"/>
  <c r="J407" i="1" s="1"/>
  <c r="J52" i="4" s="1"/>
  <c r="L406" i="1"/>
  <c r="J406" i="1"/>
  <c r="J396" i="1" s="1"/>
  <c r="J51" i="4" s="1"/>
  <c r="J99" i="1"/>
  <c r="J103" i="1" s="1"/>
  <c r="J97" i="1" s="1"/>
  <c r="J35" i="1"/>
  <c r="J38" i="1" s="1"/>
  <c r="J33" i="1" s="1"/>
  <c r="J167" i="1"/>
  <c r="J171" i="1" s="1"/>
  <c r="J165" i="1" s="1"/>
  <c r="L507" i="1"/>
  <c r="K507" i="1"/>
  <c r="K502" i="1" s="1"/>
  <c r="J507" i="1"/>
  <c r="J502" i="1" s="1"/>
  <c r="H60" i="3"/>
  <c r="H59" i="3"/>
  <c r="H58" i="3"/>
  <c r="H57" i="3"/>
  <c r="H56" i="3"/>
  <c r="H55" i="3"/>
  <c r="H54" i="3"/>
  <c r="H53" i="3"/>
  <c r="H52" i="3"/>
  <c r="H51" i="3"/>
  <c r="H50" i="3"/>
  <c r="H49" i="3"/>
  <c r="H48" i="3"/>
  <c r="H47" i="3"/>
  <c r="H46" i="3"/>
  <c r="L362" i="1"/>
  <c r="K362" i="1"/>
  <c r="K357" i="1" s="1"/>
  <c r="J362" i="1"/>
  <c r="J357" i="1" s="1"/>
  <c r="L356" i="1"/>
  <c r="K356" i="1"/>
  <c r="K351" i="1" s="1"/>
  <c r="J356" i="1"/>
  <c r="J351" i="1" s="1"/>
  <c r="L946" i="1"/>
  <c r="K946" i="1"/>
  <c r="K941" i="1" s="1"/>
  <c r="J946" i="1"/>
  <c r="J941" i="1" s="1"/>
  <c r="L1056" i="1"/>
  <c r="K1056" i="1"/>
  <c r="K1051" i="1" s="1"/>
  <c r="K169" i="4" s="1"/>
  <c r="J1056" i="1"/>
  <c r="J1051" i="1" s="1"/>
  <c r="J169" i="4" s="1"/>
  <c r="L1050" i="1"/>
  <c r="K1050" i="1"/>
  <c r="K1045" i="1" s="1"/>
  <c r="J1050" i="1"/>
  <c r="J1045" i="1" s="1"/>
  <c r="L1068" i="1"/>
  <c r="K1068" i="1"/>
  <c r="K1063" i="1" s="1"/>
  <c r="K171" i="4" s="1"/>
  <c r="J1068" i="1"/>
  <c r="J1063" i="1" s="1"/>
  <c r="J171" i="4" s="1"/>
  <c r="L1001" i="1"/>
  <c r="K1001" i="1"/>
  <c r="K996" i="1" s="1"/>
  <c r="K160" i="4" s="1"/>
  <c r="J1001" i="1"/>
  <c r="J996" i="1" s="1"/>
  <c r="J160" i="4" s="1"/>
  <c r="L995" i="1"/>
  <c r="K995" i="1"/>
  <c r="K990" i="1" s="1"/>
  <c r="J995" i="1"/>
  <c r="J990" i="1" s="1"/>
  <c r="XFC1048" i="1"/>
  <c r="L1080" i="1"/>
  <c r="K1080" i="1"/>
  <c r="K1075" i="1" s="1"/>
  <c r="K173" i="4" s="1"/>
  <c r="J1080" i="1"/>
  <c r="J1075" i="1" s="1"/>
  <c r="L1020" i="1"/>
  <c r="K1020" i="1"/>
  <c r="K1015" i="1" s="1"/>
  <c r="K163" i="4" s="1"/>
  <c r="J1020" i="1"/>
  <c r="J1015" i="1" s="1"/>
  <c r="J163" i="4" s="1"/>
  <c r="L1014" i="1"/>
  <c r="K1014" i="1"/>
  <c r="J1014" i="1"/>
  <c r="L989" i="1"/>
  <c r="K989" i="1"/>
  <c r="K984" i="1" s="1"/>
  <c r="K158" i="4" s="1"/>
  <c r="J989" i="1"/>
  <c r="J984" i="1" s="1"/>
  <c r="J158" i="4" s="1"/>
  <c r="L959" i="1"/>
  <c r="K959" i="1"/>
  <c r="K953" i="1" s="1"/>
  <c r="J959" i="1"/>
  <c r="J953" i="1" s="1"/>
  <c r="L801" i="1"/>
  <c r="K801" i="1"/>
  <c r="K796" i="1" s="1"/>
  <c r="J801" i="1"/>
  <c r="J796" i="1" s="1"/>
  <c r="L795" i="1"/>
  <c r="K795" i="1"/>
  <c r="K790" i="1" s="1"/>
  <c r="J795" i="1"/>
  <c r="J790" i="1" s="1"/>
  <c r="L789" i="1"/>
  <c r="K789" i="1"/>
  <c r="K784" i="1" s="1"/>
  <c r="J789" i="1"/>
  <c r="J784" i="1" s="1"/>
  <c r="L813" i="1"/>
  <c r="K813" i="1"/>
  <c r="K808" i="1" s="1"/>
  <c r="J813" i="1"/>
  <c r="J808" i="1" s="1"/>
  <c r="L783" i="1"/>
  <c r="K783" i="1"/>
  <c r="K778" i="1" s="1"/>
  <c r="J783" i="1"/>
  <c r="J778" i="1" s="1"/>
  <c r="L940" i="1"/>
  <c r="K940" i="1"/>
  <c r="K935" i="1" s="1"/>
  <c r="J940" i="1"/>
  <c r="J935" i="1" s="1"/>
  <c r="L904" i="1"/>
  <c r="K904" i="1"/>
  <c r="K899" i="1" s="1"/>
  <c r="J904" i="1"/>
  <c r="J899" i="1" s="1"/>
  <c r="L898" i="1"/>
  <c r="K898" i="1"/>
  <c r="K893" i="1" s="1"/>
  <c r="J898" i="1"/>
  <c r="J893" i="1" s="1"/>
  <c r="L892" i="1"/>
  <c r="K892" i="1"/>
  <c r="K887" i="1" s="1"/>
  <c r="J892" i="1"/>
  <c r="J887" i="1" s="1"/>
  <c r="L886" i="1"/>
  <c r="K886" i="1"/>
  <c r="K881" i="1" s="1"/>
  <c r="J886" i="1"/>
  <c r="J881" i="1" s="1"/>
  <c r="L880" i="1"/>
  <c r="K880" i="1"/>
  <c r="K875" i="1" s="1"/>
  <c r="J880" i="1"/>
  <c r="J875" i="1" s="1"/>
  <c r="L856" i="1"/>
  <c r="K856" i="1"/>
  <c r="K851" i="1" s="1"/>
  <c r="J856" i="1"/>
  <c r="J851" i="1" s="1"/>
  <c r="L874" i="1"/>
  <c r="K874" i="1"/>
  <c r="K869" i="1" s="1"/>
  <c r="J874" i="1"/>
  <c r="J869" i="1" s="1"/>
  <c r="L868" i="1"/>
  <c r="K868" i="1"/>
  <c r="K863" i="1" s="1"/>
  <c r="J868" i="1"/>
  <c r="J863" i="1" s="1"/>
  <c r="L862" i="1"/>
  <c r="K862" i="1"/>
  <c r="K857" i="1" s="1"/>
  <c r="J862" i="1"/>
  <c r="J857" i="1" s="1"/>
  <c r="L837" i="1"/>
  <c r="K837" i="1"/>
  <c r="K832" i="1" s="1"/>
  <c r="J837" i="1"/>
  <c r="J832" i="1" s="1"/>
  <c r="L831" i="1"/>
  <c r="K831" i="1"/>
  <c r="K826" i="1" s="1"/>
  <c r="J831" i="1"/>
  <c r="J826" i="1" s="1"/>
  <c r="L723" i="1"/>
  <c r="K723" i="1"/>
  <c r="K718" i="1" s="1"/>
  <c r="J723" i="1"/>
  <c r="J718" i="1" s="1"/>
  <c r="L753" i="1"/>
  <c r="K753" i="1"/>
  <c r="K748" i="1" s="1"/>
  <c r="J753" i="1"/>
  <c r="J748" i="1" s="1"/>
  <c r="L729" i="1"/>
  <c r="K729" i="1"/>
  <c r="K724" i="1" s="1"/>
  <c r="J729" i="1"/>
  <c r="J724" i="1" s="1"/>
  <c r="L711" i="1"/>
  <c r="K711" i="1"/>
  <c r="K706" i="1" s="1"/>
  <c r="J711" i="1"/>
  <c r="J706" i="1" s="1"/>
  <c r="L705" i="1"/>
  <c r="K705" i="1"/>
  <c r="K700" i="1" s="1"/>
  <c r="J705" i="1"/>
  <c r="J700" i="1" s="1"/>
  <c r="L699" i="1"/>
  <c r="K699" i="1"/>
  <c r="K694" i="1" s="1"/>
  <c r="J699" i="1"/>
  <c r="J694" i="1" s="1"/>
  <c r="L687" i="1"/>
  <c r="K687" i="1"/>
  <c r="K682" i="1" s="1"/>
  <c r="J687" i="1"/>
  <c r="J682" i="1" s="1"/>
  <c r="L681" i="1"/>
  <c r="K681" i="1"/>
  <c r="K676" i="1" s="1"/>
  <c r="J681" i="1"/>
  <c r="J676" i="1" s="1"/>
  <c r="L675" i="1"/>
  <c r="K675" i="1"/>
  <c r="K670" i="1" s="1"/>
  <c r="J675" i="1"/>
  <c r="J670" i="1" s="1"/>
  <c r="L651" i="1"/>
  <c r="K651" i="1"/>
  <c r="K646" i="1" s="1"/>
  <c r="J651" i="1"/>
  <c r="J646" i="1" s="1"/>
  <c r="L645" i="1"/>
  <c r="K645" i="1"/>
  <c r="K640" i="1" s="1"/>
  <c r="J645" i="1"/>
  <c r="J640" i="1" s="1"/>
  <c r="L639" i="1"/>
  <c r="K639" i="1"/>
  <c r="K634" i="1" s="1"/>
  <c r="J639" i="1"/>
  <c r="J634" i="1" s="1"/>
  <c r="L633" i="1"/>
  <c r="K633" i="1"/>
  <c r="K628" i="1" s="1"/>
  <c r="J633" i="1"/>
  <c r="J628" i="1" s="1"/>
  <c r="L262" i="1"/>
  <c r="K262" i="1"/>
  <c r="K257" i="1" s="1"/>
  <c r="J262" i="1"/>
  <c r="J257" i="1" s="1"/>
  <c r="L256" i="1"/>
  <c r="K256" i="1"/>
  <c r="K251" i="1" s="1"/>
  <c r="J256" i="1"/>
  <c r="J251" i="1" s="1"/>
  <c r="L250" i="1"/>
  <c r="K250" i="1"/>
  <c r="K245" i="1" s="1"/>
  <c r="J250" i="1"/>
  <c r="J245" i="1" s="1"/>
  <c r="L244" i="1"/>
  <c r="K244" i="1"/>
  <c r="K239" i="1" s="1"/>
  <c r="J244" i="1"/>
  <c r="J239" i="1" s="1"/>
  <c r="L238" i="1"/>
  <c r="K238" i="1"/>
  <c r="K233" i="1" s="1"/>
  <c r="J238" i="1"/>
  <c r="J233" i="1" s="1"/>
  <c r="L232" i="1"/>
  <c r="K232" i="1"/>
  <c r="K227" i="1" s="1"/>
  <c r="J232" i="1"/>
  <c r="J227" i="1" s="1"/>
  <c r="L226" i="1"/>
  <c r="K226" i="1"/>
  <c r="K221" i="1" s="1"/>
  <c r="J226" i="1"/>
  <c r="J221" i="1" s="1"/>
  <c r="L220" i="1"/>
  <c r="K220" i="1"/>
  <c r="K215" i="1" s="1"/>
  <c r="J220" i="1"/>
  <c r="J215" i="1" s="1"/>
  <c r="L214" i="1"/>
  <c r="K214" i="1"/>
  <c r="K209" i="1" s="1"/>
  <c r="J214" i="1"/>
  <c r="J209" i="1" s="1"/>
  <c r="L208" i="1"/>
  <c r="K208" i="1"/>
  <c r="K203" i="1" s="1"/>
  <c r="J208" i="1"/>
  <c r="J203" i="1" s="1"/>
  <c r="L202" i="1"/>
  <c r="K202" i="1"/>
  <c r="K197" i="1" s="1"/>
  <c r="J202" i="1"/>
  <c r="J197" i="1" s="1"/>
  <c r="L196" i="1"/>
  <c r="K196" i="1"/>
  <c r="K191" i="1" s="1"/>
  <c r="J196" i="1"/>
  <c r="J191" i="1" s="1"/>
  <c r="L190" i="1"/>
  <c r="K190" i="1"/>
  <c r="K185" i="1" s="1"/>
  <c r="J190" i="1"/>
  <c r="J185" i="1" s="1"/>
  <c r="L184" i="1"/>
  <c r="K184" i="1"/>
  <c r="K179" i="1" s="1"/>
  <c r="J184" i="1"/>
  <c r="J179" i="1" s="1"/>
  <c r="L178" i="1"/>
  <c r="K178" i="1"/>
  <c r="K172" i="1" s="1"/>
  <c r="J178" i="1"/>
  <c r="J172" i="1" s="1"/>
  <c r="L171" i="1"/>
  <c r="K171" i="1"/>
  <c r="K165" i="1" s="1"/>
  <c r="L164" i="1"/>
  <c r="K164" i="1"/>
  <c r="K159" i="1" s="1"/>
  <c r="J164" i="1"/>
  <c r="J159" i="1" s="1"/>
  <c r="L158" i="1"/>
  <c r="K158" i="1"/>
  <c r="K153" i="1" s="1"/>
  <c r="J158" i="1"/>
  <c r="J153" i="1" s="1"/>
  <c r="L152" i="1"/>
  <c r="K152" i="1"/>
  <c r="K146" i="1" s="1"/>
  <c r="J152" i="1"/>
  <c r="J146" i="1" s="1"/>
  <c r="L145" i="1"/>
  <c r="K145" i="1"/>
  <c r="K140" i="1" s="1"/>
  <c r="K21" i="4" s="1"/>
  <c r="J145" i="1"/>
  <c r="J140" i="1" s="1"/>
  <c r="J21" i="4" s="1"/>
  <c r="L139" i="1"/>
  <c r="K139" i="1"/>
  <c r="K134" i="1" s="1"/>
  <c r="J139" i="1"/>
  <c r="J134" i="1" s="1"/>
  <c r="L133" i="1"/>
  <c r="K133" i="1"/>
  <c r="K128" i="1" s="1"/>
  <c r="J133" i="1"/>
  <c r="J128" i="1" s="1"/>
  <c r="L121" i="1"/>
  <c r="K121" i="1"/>
  <c r="K116" i="1" s="1"/>
  <c r="J121" i="1"/>
  <c r="J116" i="1" s="1"/>
  <c r="L115" i="1"/>
  <c r="K115" i="1"/>
  <c r="K110" i="1" s="1"/>
  <c r="J115" i="1"/>
  <c r="J110" i="1" s="1"/>
  <c r="L109" i="1"/>
  <c r="K109" i="1"/>
  <c r="K104" i="1" s="1"/>
  <c r="J109" i="1"/>
  <c r="J104" i="1" s="1"/>
  <c r="L103" i="1"/>
  <c r="K103" i="1"/>
  <c r="K97" i="1" s="1"/>
  <c r="L96" i="1"/>
  <c r="K96" i="1"/>
  <c r="K91" i="1" s="1"/>
  <c r="J96" i="1"/>
  <c r="J91" i="1" s="1"/>
  <c r="L90" i="1"/>
  <c r="K90" i="1"/>
  <c r="K85" i="1" s="1"/>
  <c r="J90" i="1"/>
  <c r="J85" i="1" s="1"/>
  <c r="L84" i="1"/>
  <c r="K84" i="1"/>
  <c r="K79" i="1" s="1"/>
  <c r="J84" i="1"/>
  <c r="J79" i="1" s="1"/>
  <c r="L78" i="1"/>
  <c r="K78" i="1"/>
  <c r="K73" i="1" s="1"/>
  <c r="J78" i="1"/>
  <c r="J73" i="1" s="1"/>
  <c r="L72" i="1"/>
  <c r="K72" i="1"/>
  <c r="K67" i="1" s="1"/>
  <c r="J72" i="1"/>
  <c r="J67" i="1" s="1"/>
  <c r="L66" i="1"/>
  <c r="K66" i="1"/>
  <c r="K57" i="1" s="1"/>
  <c r="J66" i="1"/>
  <c r="J57" i="1" s="1"/>
  <c r="L56" i="1"/>
  <c r="K56" i="1"/>
  <c r="K51" i="1" s="1"/>
  <c r="J56" i="1"/>
  <c r="J51" i="1" s="1"/>
  <c r="L50" i="1"/>
  <c r="K50" i="1"/>
  <c r="K45" i="1" s="1"/>
  <c r="J50" i="1"/>
  <c r="J45" i="1" s="1"/>
  <c r="L44" i="1"/>
  <c r="K44" i="1"/>
  <c r="K39" i="1" s="1"/>
  <c r="K6" i="4" s="1"/>
  <c r="J44" i="1"/>
  <c r="J39" i="1" s="1"/>
  <c r="J6" i="4" s="1"/>
  <c r="L38" i="1"/>
  <c r="K38" i="1"/>
  <c r="K33" i="1" s="1"/>
  <c r="L26" i="1"/>
  <c r="K26" i="1"/>
  <c r="K21" i="1" s="1"/>
  <c r="J26" i="1"/>
  <c r="J21" i="1" s="1"/>
  <c r="L20" i="1"/>
  <c r="K20" i="1"/>
  <c r="K15" i="1" s="1"/>
  <c r="K3" i="4" s="1"/>
  <c r="J20" i="1"/>
  <c r="J15" i="1" s="1"/>
  <c r="J3" i="4" s="1"/>
  <c r="L8" i="1"/>
  <c r="K8" i="1"/>
  <c r="K2" i="1" s="1"/>
  <c r="K2" i="4" s="1"/>
  <c r="J8" i="1"/>
  <c r="J2" i="1" s="1"/>
  <c r="J2" i="4" s="1"/>
  <c r="J29" i="4" l="1"/>
  <c r="K24" i="4"/>
  <c r="J33" i="4"/>
  <c r="J39" i="4"/>
  <c r="J84" i="4"/>
  <c r="K59" i="4"/>
  <c r="J31" i="4"/>
  <c r="J35" i="4"/>
  <c r="J27" i="4"/>
  <c r="K31" i="4"/>
  <c r="K35" i="4"/>
  <c r="K84" i="4"/>
  <c r="J23" i="4"/>
  <c r="K39" i="4"/>
  <c r="K138" i="4"/>
  <c r="K139" i="4"/>
  <c r="J154" i="4"/>
  <c r="J168" i="4"/>
  <c r="J48" i="4"/>
  <c r="J159" i="4"/>
  <c r="J173" i="4"/>
  <c r="J19" i="4"/>
  <c r="K27" i="4"/>
  <c r="J11" i="4"/>
  <c r="K15" i="4"/>
  <c r="K19" i="4"/>
  <c r="K23" i="4"/>
  <c r="K154" i="4"/>
  <c r="K168" i="4"/>
  <c r="K10" i="4"/>
  <c r="K7" i="4"/>
  <c r="J32" i="4"/>
  <c r="J40" i="4"/>
  <c r="J130" i="4"/>
  <c r="K46" i="4"/>
  <c r="J138" i="4"/>
  <c r="K14" i="4"/>
  <c r="J15" i="4"/>
  <c r="J41" i="4"/>
  <c r="K11" i="4"/>
  <c r="J36" i="4"/>
  <c r="J24" i="4"/>
  <c r="K28" i="4"/>
  <c r="K32" i="4"/>
  <c r="K36" i="4"/>
  <c r="K40" i="4"/>
  <c r="K130" i="4"/>
  <c r="J10" i="4"/>
  <c r="J14" i="4"/>
  <c r="K18" i="4"/>
  <c r="K22" i="4"/>
  <c r="K47" i="4"/>
  <c r="J5" i="4"/>
  <c r="J43" i="4"/>
  <c r="J59" i="4"/>
  <c r="J64" i="4"/>
  <c r="J37" i="4"/>
  <c r="K48" i="4"/>
  <c r="J78" i="4"/>
  <c r="K41" i="4"/>
  <c r="J28" i="4"/>
  <c r="J20" i="4"/>
  <c r="K29" i="4"/>
  <c r="K33" i="4"/>
  <c r="K37" i="4"/>
  <c r="J68" i="4"/>
  <c r="K68" i="4"/>
  <c r="K25" i="4"/>
  <c r="J65" i="4"/>
  <c r="K42" i="4"/>
  <c r="K65" i="4"/>
  <c r="J42" i="4"/>
  <c r="K66" i="4"/>
  <c r="J26" i="4"/>
  <c r="J30" i="4"/>
  <c r="J34" i="4"/>
  <c r="J38" i="4"/>
  <c r="K43" i="4"/>
  <c r="J45" i="4"/>
  <c r="J49" i="4"/>
  <c r="J46" i="4"/>
  <c r="J66" i="4"/>
  <c r="J22" i="4"/>
  <c r="K26" i="4"/>
  <c r="K30" i="4"/>
  <c r="K34" i="4"/>
  <c r="K38" i="4"/>
  <c r="J47" i="4"/>
  <c r="J25" i="4"/>
  <c r="K45" i="4"/>
  <c r="K16" i="4"/>
  <c r="J17" i="4"/>
  <c r="J7" i="4"/>
  <c r="J16" i="4"/>
  <c r="J8" i="4"/>
  <c r="K8" i="4"/>
  <c r="K4" i="4"/>
  <c r="J13" i="4"/>
  <c r="K17" i="4"/>
  <c r="J12" i="4"/>
  <c r="K12" i="4"/>
  <c r="J9" i="4"/>
  <c r="K5" i="4"/>
  <c r="K9" i="4"/>
  <c r="K13" i="4"/>
  <c r="K20" i="4"/>
  <c r="J4" i="4"/>
  <c r="J18" i="4"/>
  <c r="K137" i="4"/>
  <c r="J87" i="4"/>
  <c r="J73" i="4"/>
  <c r="J79" i="4"/>
  <c r="K87" i="4"/>
  <c r="K73" i="4"/>
  <c r="K79" i="4"/>
  <c r="J72" i="4"/>
  <c r="K78" i="4"/>
  <c r="K82" i="4"/>
  <c r="J83" i="4"/>
  <c r="K83" i="4"/>
  <c r="K85" i="4"/>
  <c r="J82" i="4"/>
  <c r="K62" i="4"/>
  <c r="J121" i="4"/>
  <c r="J115" i="4"/>
  <c r="J149" i="4"/>
  <c r="J75" i="4"/>
  <c r="J62" i="4"/>
  <c r="K57" i="4"/>
  <c r="K115" i="4"/>
  <c r="J145" i="4"/>
  <c r="K145" i="4"/>
  <c r="J157" i="4"/>
  <c r="J131" i="4"/>
  <c r="K80" i="4"/>
  <c r="K149" i="4"/>
  <c r="L161" i="4"/>
  <c r="J85" i="4"/>
  <c r="J116" i="4"/>
  <c r="K131" i="4"/>
  <c r="K155" i="4"/>
  <c r="K159" i="4"/>
  <c r="J139" i="4"/>
  <c r="J128" i="4"/>
  <c r="L156" i="4"/>
  <c r="J80" i="4"/>
  <c r="J81" i="4"/>
  <c r="J86" i="4"/>
  <c r="K128" i="4"/>
  <c r="K157" i="4"/>
  <c r="K81" i="4"/>
  <c r="K86" i="4"/>
  <c r="J74" i="4"/>
  <c r="K74" i="4"/>
  <c r="K72" i="4"/>
  <c r="J76" i="4"/>
  <c r="J77" i="4"/>
  <c r="K77" i="4"/>
  <c r="K76" i="4"/>
  <c r="K75" i="4"/>
  <c r="J67" i="4"/>
  <c r="K67" i="4"/>
  <c r="J53" i="4"/>
  <c r="J58" i="4"/>
  <c r="K54" i="4"/>
  <c r="K58" i="4"/>
  <c r="J54" i="4"/>
  <c r="J55" i="4"/>
  <c r="J70" i="4"/>
  <c r="K55" i="4"/>
  <c r="K70" i="4"/>
  <c r="J153" i="4"/>
  <c r="K56" i="4"/>
  <c r="K63" i="4"/>
  <c r="J69" i="4"/>
  <c r="J71" i="4"/>
  <c r="K71" i="4"/>
  <c r="J56" i="4"/>
  <c r="J61" i="4"/>
  <c r="K69" i="4"/>
  <c r="J60" i="4"/>
  <c r="J63" i="4"/>
  <c r="J57" i="4"/>
  <c r="K61" i="4"/>
  <c r="K153" i="4"/>
  <c r="K124" i="4"/>
  <c r="K121" i="4"/>
  <c r="J129" i="4"/>
  <c r="J124" i="4"/>
  <c r="K94" i="4"/>
  <c r="J102" i="4"/>
  <c r="K107" i="4"/>
  <c r="K119" i="4"/>
  <c r="K123" i="4"/>
  <c r="J126" i="4"/>
  <c r="J91" i="4"/>
  <c r="J94" i="4"/>
  <c r="J150" i="4"/>
  <c r="J155" i="4"/>
  <c r="K126" i="4"/>
  <c r="K91" i="4"/>
  <c r="J120" i="4"/>
  <c r="J104" i="4"/>
  <c r="J117" i="4"/>
  <c r="K132" i="4"/>
  <c r="K105" i="4"/>
  <c r="J135" i="4"/>
  <c r="K127" i="4"/>
  <c r="K90" i="4"/>
  <c r="K117" i="4"/>
  <c r="J119" i="4"/>
  <c r="J123" i="4"/>
  <c r="K135" i="4"/>
  <c r="K100" i="4"/>
  <c r="K102" i="4"/>
  <c r="K120" i="4"/>
  <c r="J132" i="4"/>
  <c r="J111" i="4"/>
  <c r="K125" i="4"/>
  <c r="K133" i="4"/>
  <c r="J105" i="4"/>
  <c r="J118" i="4"/>
  <c r="J122" i="4"/>
  <c r="K118" i="4"/>
  <c r="K122" i="4"/>
  <c r="J125" i="4"/>
  <c r="K104" i="4"/>
  <c r="J137" i="4"/>
  <c r="K129" i="4"/>
  <c r="J127" i="4"/>
  <c r="K101" i="4"/>
  <c r="J103" i="4"/>
  <c r="K103" i="4"/>
  <c r="K116" i="4"/>
  <c r="J108" i="4"/>
  <c r="K96" i="4"/>
  <c r="J90" i="4"/>
  <c r="J96" i="4"/>
  <c r="J106" i="4"/>
  <c r="J97" i="4"/>
  <c r="K109" i="4"/>
  <c r="K108" i="4"/>
  <c r="K110" i="4"/>
  <c r="K111" i="4"/>
  <c r="K106" i="4"/>
  <c r="J114" i="4"/>
  <c r="K97" i="4"/>
  <c r="K112" i="4"/>
  <c r="J107" i="4"/>
  <c r="K114" i="4"/>
  <c r="J110" i="4"/>
  <c r="J109" i="4"/>
  <c r="J112" i="4"/>
  <c r="K113" i="4"/>
  <c r="J101" i="4"/>
  <c r="J113" i="4"/>
  <c r="J89" i="4"/>
  <c r="K95" i="4"/>
  <c r="J99" i="4"/>
  <c r="J93" i="4"/>
  <c r="K88" i="4"/>
  <c r="K89" i="4"/>
  <c r="J98" i="4"/>
  <c r="K99" i="4"/>
  <c r="K93" i="4"/>
  <c r="J88" i="4"/>
  <c r="J92" i="4"/>
  <c r="K92" i="4"/>
  <c r="J95" i="4"/>
  <c r="K98" i="4"/>
  <c r="J100" i="4"/>
  <c r="J151" i="4"/>
  <c r="K150" i="4"/>
  <c r="K151" i="4"/>
  <c r="L152" i="4"/>
  <c r="K136" i="4"/>
  <c r="J136" i="4"/>
  <c r="J142" i="4"/>
  <c r="K142" i="4"/>
  <c r="J141" i="4"/>
  <c r="J147" i="4"/>
  <c r="J133" i="4"/>
  <c r="K141" i="4"/>
  <c r="K147" i="4"/>
  <c r="J146" i="4"/>
  <c r="K146" i="4"/>
  <c r="K1009" i="1"/>
  <c r="J1009" i="1"/>
  <c r="J143" i="4"/>
  <c r="K143" i="4"/>
  <c r="K377" i="1"/>
  <c r="K363" i="1" s="1"/>
  <c r="K49" i="4" s="1"/>
  <c r="K406" i="1"/>
  <c r="K396" i="1" s="1"/>
  <c r="L802" i="1"/>
  <c r="L984" i="1"/>
  <c r="L158" i="4" s="1"/>
  <c r="L73" i="1"/>
  <c r="L1075" i="1"/>
  <c r="L427" i="1"/>
  <c r="L516" i="1"/>
  <c r="L233" i="1"/>
  <c r="L694" i="1"/>
  <c r="L529" i="1"/>
  <c r="L652" i="1"/>
  <c r="L185" i="1"/>
  <c r="L670" i="1"/>
  <c r="L917" i="1"/>
  <c r="L290" i="1"/>
  <c r="L257" i="1"/>
  <c r="L203" i="1"/>
  <c r="L565" i="1"/>
  <c r="L221" i="1"/>
  <c r="L67" i="1"/>
  <c r="L826" i="1"/>
  <c r="L598" i="1"/>
  <c r="L592" i="1"/>
  <c r="L76" i="4" s="1"/>
  <c r="L778" i="1"/>
  <c r="L935" i="1"/>
  <c r="L445" i="1"/>
  <c r="L215" i="1"/>
  <c r="L1051" i="1"/>
  <c r="L169" i="4" s="1"/>
  <c r="L628" i="1"/>
  <c r="L796" i="1"/>
  <c r="L407" i="1"/>
  <c r="L52" i="4" s="1"/>
  <c r="L646" i="1"/>
  <c r="L604" i="1"/>
  <c r="L85" i="1"/>
  <c r="L263" i="1"/>
  <c r="L421" i="1"/>
  <c r="L857" i="1"/>
  <c r="L784" i="1"/>
  <c r="L451" i="1"/>
  <c r="L832" i="1"/>
  <c r="L766" i="1"/>
  <c r="L547" i="1"/>
  <c r="L682" i="1"/>
  <c r="L990" i="1"/>
  <c r="L146" i="1"/>
  <c r="L881" i="1"/>
  <c r="L941" i="1"/>
  <c r="L21" i="1"/>
  <c r="L863" i="1"/>
  <c r="L128" i="1"/>
  <c r="L508" i="1"/>
  <c r="L905" i="1"/>
  <c r="L433" i="1"/>
  <c r="L15" i="1"/>
  <c r="L3" i="4" s="1"/>
  <c r="L463" i="1"/>
  <c r="L457" i="1"/>
  <c r="L51" i="1"/>
  <c r="L110" i="1"/>
  <c r="L116" i="1"/>
  <c r="L140" i="1"/>
  <c r="L21" i="4" s="1"/>
  <c r="L209" i="1"/>
  <c r="L251" i="1"/>
  <c r="L724" i="1"/>
  <c r="L748" i="1"/>
  <c r="L851" i="1"/>
  <c r="L893" i="1"/>
  <c r="L808" i="1"/>
  <c r="L1015" i="1"/>
  <c r="L163" i="4" s="1"/>
  <c r="L357" i="1"/>
  <c r="L414" i="1"/>
  <c r="L730" i="1"/>
  <c r="L269" i="1"/>
  <c r="L581" i="1"/>
  <c r="L772" i="1"/>
  <c r="L820" i="1"/>
  <c r="L2" i="1"/>
  <c r="L2" i="4" s="1"/>
  <c r="L39" i="1"/>
  <c r="L6" i="4" s="1"/>
  <c r="L45" i="1"/>
  <c r="L57" i="1"/>
  <c r="L91" i="1"/>
  <c r="L97" i="1"/>
  <c r="L104" i="1"/>
  <c r="L153" i="1"/>
  <c r="L159" i="1"/>
  <c r="L24" i="4" s="1"/>
  <c r="L172" i="1"/>
  <c r="L179" i="1"/>
  <c r="L227" i="1"/>
  <c r="L239" i="1"/>
  <c r="L676" i="1"/>
  <c r="L700" i="1"/>
  <c r="L875" i="1"/>
  <c r="L887" i="1"/>
  <c r="L790" i="1"/>
  <c r="L996" i="1"/>
  <c r="L1063" i="1"/>
  <c r="L171" i="4" s="1"/>
  <c r="L1045" i="1"/>
  <c r="L523" i="1"/>
  <c r="L571" i="1"/>
  <c r="L610" i="1"/>
  <c r="L622" i="1"/>
  <c r="L275" i="1"/>
  <c r="L283" i="1"/>
  <c r="L742" i="1"/>
  <c r="L754" i="1"/>
  <c r="L760" i="1"/>
  <c r="L488" i="1"/>
  <c r="L296" i="1"/>
  <c r="L844" i="1"/>
  <c r="L814" i="1"/>
  <c r="L378" i="1"/>
  <c r="L50" i="4" s="1"/>
  <c r="L688" i="1"/>
  <c r="L736" i="1"/>
  <c r="L553" i="1"/>
  <c r="L616" i="1"/>
  <c r="L535" i="1"/>
  <c r="L134" i="1"/>
  <c r="L502" i="1"/>
  <c r="XFC1051" i="1"/>
  <c r="L33" i="1"/>
  <c r="L79" i="1"/>
  <c r="L165" i="1"/>
  <c r="L191" i="1"/>
  <c r="L197" i="1"/>
  <c r="L245" i="1"/>
  <c r="L634" i="1"/>
  <c r="L640" i="1"/>
  <c r="L706" i="1"/>
  <c r="L718" i="1"/>
  <c r="L869" i="1"/>
  <c r="L899" i="1"/>
  <c r="L953" i="1"/>
  <c r="L351" i="1"/>
  <c r="L9" i="4" l="1"/>
  <c r="L29" i="4"/>
  <c r="L27" i="4"/>
  <c r="K60" i="4"/>
  <c r="L26" i="4"/>
  <c r="L68" i="4"/>
  <c r="L159" i="4"/>
  <c r="L173" i="4"/>
  <c r="L154" i="4"/>
  <c r="L168" i="4"/>
  <c r="L130" i="4"/>
  <c r="L138" i="4"/>
  <c r="K134" i="4"/>
  <c r="K162" i="4"/>
  <c r="L65" i="4"/>
  <c r="J140" i="4"/>
  <c r="J162" i="4"/>
  <c r="L160" i="4"/>
  <c r="L13" i="4"/>
  <c r="L8" i="4"/>
  <c r="L34" i="4"/>
  <c r="L30" i="4"/>
  <c r="L35" i="4"/>
  <c r="L61" i="4"/>
  <c r="L45" i="4"/>
  <c r="L5" i="4"/>
  <c r="L16" i="4"/>
  <c r="L17" i="4"/>
  <c r="L22" i="4"/>
  <c r="L145" i="4"/>
  <c r="L44" i="4"/>
  <c r="L31" i="4"/>
  <c r="L48" i="4"/>
  <c r="L14" i="4"/>
  <c r="L36" i="4"/>
  <c r="L38" i="4"/>
  <c r="L40" i="4"/>
  <c r="L43" i="4"/>
  <c r="L66" i="4"/>
  <c r="L33" i="4"/>
  <c r="L39" i="4"/>
  <c r="L25" i="4"/>
  <c r="L32" i="4"/>
  <c r="K51" i="4"/>
  <c r="K64" i="4"/>
  <c r="L47" i="4"/>
  <c r="L42" i="4"/>
  <c r="L28" i="4"/>
  <c r="L59" i="4"/>
  <c r="L37" i="4"/>
  <c r="L46" i="4"/>
  <c r="L149" i="4"/>
  <c r="L23" i="4"/>
  <c r="L18" i="4"/>
  <c r="L41" i="4"/>
  <c r="L15" i="4"/>
  <c r="L7" i="4"/>
  <c r="L20" i="4"/>
  <c r="L10" i="4"/>
  <c r="L11" i="4"/>
  <c r="L19" i="4"/>
  <c r="L12" i="4"/>
  <c r="L4" i="4"/>
  <c r="K148" i="4"/>
  <c r="J148" i="4"/>
  <c r="L62" i="4"/>
  <c r="L84" i="4"/>
  <c r="L79" i="4"/>
  <c r="L73" i="4"/>
  <c r="L133" i="4"/>
  <c r="L86" i="4"/>
  <c r="L72" i="4"/>
  <c r="L78" i="4"/>
  <c r="L54" i="4"/>
  <c r="L77" i="4"/>
  <c r="L85" i="4"/>
  <c r="L74" i="4"/>
  <c r="L83" i="4"/>
  <c r="L80" i="4"/>
  <c r="L137" i="4"/>
  <c r="L82" i="4"/>
  <c r="L157" i="4"/>
  <c r="L128" i="4"/>
  <c r="L81" i="4"/>
  <c r="L131" i="4"/>
  <c r="L139" i="4"/>
  <c r="L87" i="4"/>
  <c r="L75" i="4"/>
  <c r="L70" i="4"/>
  <c r="L57" i="4"/>
  <c r="J144" i="4"/>
  <c r="L63" i="4"/>
  <c r="L55" i="4"/>
  <c r="K53" i="4"/>
  <c r="L69" i="4"/>
  <c r="L67" i="4"/>
  <c r="L56" i="4"/>
  <c r="L71" i="4"/>
  <c r="L58" i="4"/>
  <c r="L118" i="4"/>
  <c r="K144" i="4"/>
  <c r="L112" i="4"/>
  <c r="L125" i="4"/>
  <c r="L124" i="4"/>
  <c r="L150" i="4"/>
  <c r="L155" i="4"/>
  <c r="L153" i="4"/>
  <c r="L127" i="4"/>
  <c r="L126" i="4"/>
  <c r="L122" i="4"/>
  <c r="L117" i="4"/>
  <c r="L120" i="4"/>
  <c r="L121" i="4"/>
  <c r="L119" i="4"/>
  <c r="L129" i="4"/>
  <c r="L135" i="4"/>
  <c r="L108" i="4"/>
  <c r="L132" i="4"/>
  <c r="L123" i="4"/>
  <c r="L116" i="4"/>
  <c r="L105" i="4"/>
  <c r="L110" i="4"/>
  <c r="L103" i="4"/>
  <c r="L114" i="4"/>
  <c r="L104" i="4"/>
  <c r="L111" i="4"/>
  <c r="L106" i="4"/>
  <c r="L90" i="4"/>
  <c r="L115" i="4"/>
  <c r="L113" i="4"/>
  <c r="L109" i="4"/>
  <c r="L99" i="4"/>
  <c r="L102" i="4"/>
  <c r="L107" i="4"/>
  <c r="L92" i="4"/>
  <c r="L101" i="4"/>
  <c r="L98" i="4"/>
  <c r="L97" i="4"/>
  <c r="L93" i="4"/>
  <c r="L96" i="4"/>
  <c r="L95" i="4"/>
  <c r="L94" i="4"/>
  <c r="L91" i="4"/>
  <c r="L100" i="4"/>
  <c r="L88" i="4"/>
  <c r="L89" i="4"/>
  <c r="L151" i="4"/>
  <c r="K140" i="4"/>
  <c r="L142" i="4"/>
  <c r="L141" i="4"/>
  <c r="L147" i="4"/>
  <c r="L136" i="4"/>
  <c r="L146" i="4"/>
  <c r="L1009" i="1"/>
  <c r="J134" i="4"/>
  <c r="L143" i="4"/>
  <c r="L363" i="1"/>
  <c r="L49" i="4" s="1"/>
  <c r="L396" i="1"/>
  <c r="L134" i="4" l="1"/>
  <c r="L162" i="4"/>
  <c r="L60" i="4"/>
  <c r="L51" i="4"/>
  <c r="L64" i="4"/>
  <c r="L148" i="4"/>
  <c r="L53" i="4"/>
  <c r="L144" i="4"/>
  <c r="L140" i="4"/>
</calcChain>
</file>

<file path=xl/sharedStrings.xml><?xml version="1.0" encoding="utf-8"?>
<sst xmlns="http://schemas.openxmlformats.org/spreadsheetml/2006/main" count="2952" uniqueCount="489">
  <si>
    <t>Item</t>
  </si>
  <si>
    <t>Referencia</t>
  </si>
  <si>
    <t>Categoria</t>
  </si>
  <si>
    <t>Descripcion</t>
  </si>
  <si>
    <t>Color</t>
  </si>
  <si>
    <t>Serie</t>
  </si>
  <si>
    <t>Unidad</t>
  </si>
  <si>
    <t>Cantidad</t>
  </si>
  <si>
    <t>Entrada</t>
  </si>
  <si>
    <t>Salida</t>
  </si>
  <si>
    <t>Saldo</t>
  </si>
  <si>
    <t>Perfil</t>
  </si>
  <si>
    <t>Marco liso VP 3831 (38X30,9) mm</t>
  </si>
  <si>
    <t>Blanco pintura</t>
  </si>
  <si>
    <t>un</t>
  </si>
  <si>
    <t>Fecha</t>
  </si>
  <si>
    <t>Subtotal</t>
  </si>
  <si>
    <t>Marco autorroscante VP 3831 (38X30,9) mm</t>
  </si>
  <si>
    <t>Sillar alfajia VP 3831 (103,2X37,1) mm</t>
  </si>
  <si>
    <t>Divisor VP 3831 (48X38) mm</t>
  </si>
  <si>
    <t>Marco nave VP 3831 (46X38) mm</t>
  </si>
  <si>
    <t>Adaptador VP 3831 (37,8X23,3) mm</t>
  </si>
  <si>
    <t>Pisavidrio plano VP 3831 (29,2X18) mm</t>
  </si>
  <si>
    <t>Pisavidrio curvo VP 3831 (29,1X18) mm</t>
  </si>
  <si>
    <t>Pisavidrio plano 10 mm VP 3831 (29,2X18,3) mm</t>
  </si>
  <si>
    <t>Pisavidrio 30 mm VP (29X17,5) mm</t>
  </si>
  <si>
    <t>Esquinero VP 3831 (38X18) mm</t>
  </si>
  <si>
    <t>Tubular con adaptador VP 3831 (1 1/2X1 1/2)" (55,8X38) mm</t>
  </si>
  <si>
    <t>Tubular con adaptador VP 3831 (2X1 1/2)" (73,9X38) mm</t>
  </si>
  <si>
    <t>Tubular con adaptador VP 3831 (3X1 1/2)" (104,3X38) mm</t>
  </si>
  <si>
    <t>Tubular con doble adaptador VP 3831 (1 1/2X1 1/2)" (73,4X38) mm</t>
  </si>
  <si>
    <t>Tubular con doble adaptador VP 3831 (3X1 1/2)" (126,2X38) mm</t>
  </si>
  <si>
    <t>Cabezal P.C. 2044/744 (62,60X18,00) mm</t>
  </si>
  <si>
    <t>Sillar P.C. 2044/744 (64,25X16,95) mm</t>
  </si>
  <si>
    <t>Blanco mate</t>
  </si>
  <si>
    <t>Sillar Alfajia P.C. 2044/744 (99,39X21,79) mm</t>
  </si>
  <si>
    <t>Jamba P.C. 2044/744 (60X20,8) mm</t>
  </si>
  <si>
    <t>Horizontal superior P.C. 2044/744 (34,2X17) mm</t>
  </si>
  <si>
    <t>Horizontal inferior P.C. 2044/744 (49,4X18,2) mm</t>
  </si>
  <si>
    <t>Traslape P.C. 2044/744 (44,3X20) mm</t>
  </si>
  <si>
    <t>Enganche P.C:. 2044/744 (34X26,5) mm</t>
  </si>
  <si>
    <t>Adaptador P.C. 2044/744 (23,2X17) mm</t>
  </si>
  <si>
    <t>Cabezal V.C. 4020/5020 (52,7X19) mm</t>
  </si>
  <si>
    <t>Sillar V.C. 4020/5020 (51,4X27) mm</t>
  </si>
  <si>
    <t>Sillar alfajia V.C. 4020/5020 (99X33,2) mm</t>
  </si>
  <si>
    <t>Jamba V.C. 4020/5020 (50X19,4) mm</t>
  </si>
  <si>
    <t>Horizontal superior/inferior V.C. 4020/5020 (38,5X15,4) mm</t>
  </si>
  <si>
    <t>Traslape V.C. 4020/5020 (23,6X18,3) mm</t>
  </si>
  <si>
    <t>Traslape reforzado V.C. 4020/5020 (42X18) mm</t>
  </si>
  <si>
    <t>Enganche V.C. 4020/5020 (24,8X25,6) mm</t>
  </si>
  <si>
    <t>Adaptador V.C. 4020/5020 (22X16) mm</t>
  </si>
  <si>
    <t>Tubular con aleta descentrada (3X1)" (72,6X37,4) mm</t>
  </si>
  <si>
    <t>T A</t>
  </si>
  <si>
    <t>Tubular con doble aleta descentrada (3X1)" (72,6X49,4) mm</t>
  </si>
  <si>
    <t>T 2A</t>
  </si>
  <si>
    <t>Tubular (3X1)" (76,2X25,4) mm espesor 1,2 mm</t>
  </si>
  <si>
    <t>T</t>
  </si>
  <si>
    <t>Tubular (3X1 1/2)" (76,2X38) mm espesor 1,1 mm</t>
  </si>
  <si>
    <t>Taladro Bosch 3/8 inalámbrico</t>
  </si>
  <si>
    <t>Taladro Dewalt 3/8 inalámbrico</t>
  </si>
  <si>
    <t>Taladro Dewalt 1/2 inalámbrico</t>
  </si>
  <si>
    <t>Taladro percutor Dewalt 1/2 eléctrico</t>
  </si>
  <si>
    <t>Cargado Bosch</t>
  </si>
  <si>
    <t>Cargado Dewalt DCB107</t>
  </si>
  <si>
    <t>Batería DCB120</t>
  </si>
  <si>
    <t>Destornillador de estrella 8 plgs</t>
  </si>
  <si>
    <t>Destornillador de estrella de 6 plgs</t>
  </si>
  <si>
    <t>Destornillador plano de 6 plgs</t>
  </si>
  <si>
    <t xml:space="preserve">Lima triangular </t>
  </si>
  <si>
    <t>Lima cuchillo</t>
  </si>
  <si>
    <t>Lima media caña</t>
  </si>
  <si>
    <t>Tester</t>
  </si>
  <si>
    <t>Alicates</t>
  </si>
  <si>
    <t>Alicate punta larga</t>
  </si>
  <si>
    <t>Brocha de 1 plg</t>
  </si>
  <si>
    <t>Espátula de 3 plgs</t>
  </si>
  <si>
    <t>Espátula de 2 plgs</t>
  </si>
  <si>
    <t>Remachadora</t>
  </si>
  <si>
    <t>Escuadras</t>
  </si>
  <si>
    <t>Nivel de gota</t>
  </si>
  <si>
    <t>Martillo</t>
  </si>
  <si>
    <t>Mazo de goma</t>
  </si>
  <si>
    <t>Marco de segueta</t>
  </si>
  <si>
    <t>Hoja de segueta</t>
  </si>
  <si>
    <t>Kit de brocas 1/16 a 15/64</t>
  </si>
  <si>
    <t>Visor de careta para esmeril</t>
  </si>
  <si>
    <t>Llave de taladro 1/2</t>
  </si>
  <si>
    <t>Punta de taladro ph2 estrella</t>
  </si>
  <si>
    <t>Punta de taladro doble</t>
  </si>
  <si>
    <t>Punta de taladro plana</t>
  </si>
  <si>
    <t>EEP</t>
  </si>
  <si>
    <t>Protector de respirador N95 X3</t>
  </si>
  <si>
    <t>Practicantes</t>
  </si>
  <si>
    <t>Guantes nitrilo strat</t>
  </si>
  <si>
    <t>Overoles</t>
  </si>
  <si>
    <t>Overol talla S</t>
  </si>
  <si>
    <t>Linda Mateus</t>
  </si>
  <si>
    <t>Overol talla M</t>
  </si>
  <si>
    <t>Guantes de carnaza</t>
  </si>
  <si>
    <t>Aseo</t>
  </si>
  <si>
    <t>Escoba</t>
  </si>
  <si>
    <t>Guantes caña alta Goliat por par</t>
  </si>
  <si>
    <t>Maria jose Mecanica (amarillo)</t>
  </si>
  <si>
    <t>Ricardo Flechas para el grupo de soldadura jornada mañan</t>
  </si>
  <si>
    <t>Gafas de seguridad</t>
  </si>
  <si>
    <t>Papeleria</t>
  </si>
  <si>
    <t>Block tamaño carta</t>
  </si>
  <si>
    <t>Botas de seguridad</t>
  </si>
  <si>
    <t>Botas talla 42</t>
  </si>
  <si>
    <t>Otros</t>
  </si>
  <si>
    <t>Caja de barra antipánico</t>
  </si>
  <si>
    <t>Disco de pulidora</t>
  </si>
  <si>
    <t>Empaque</t>
  </si>
  <si>
    <t>Empaque U de 4mm</t>
  </si>
  <si>
    <t>m</t>
  </si>
  <si>
    <t>Felpa</t>
  </si>
  <si>
    <t>HERRAMIENTA</t>
  </si>
  <si>
    <t>Ítems</t>
  </si>
  <si>
    <t>Descripción</t>
  </si>
  <si>
    <t>1.00</t>
  </si>
  <si>
    <t>Taladros</t>
  </si>
  <si>
    <t>1.01</t>
  </si>
  <si>
    <t>1.02</t>
  </si>
  <si>
    <t>1.03</t>
  </si>
  <si>
    <t>1.04</t>
  </si>
  <si>
    <t>1.05</t>
  </si>
  <si>
    <t>1.06</t>
  </si>
  <si>
    <t>1.07</t>
  </si>
  <si>
    <t>2.00</t>
  </si>
  <si>
    <t>Herramienta manual</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</si>
  <si>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</si>
  <si>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</si>
  <si>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</si>
  <si>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</si>
  <si>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</si>
  <si>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</si>
  <si>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</si>
  <si>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</si>
  <si>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</si>
  <si>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</si>
  <si>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</si>
  <si>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</si>
  <si>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</si>
  <si>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</si>
  <si>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</si>
  <si>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</si>
  <si>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</si>
  <si>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</si>
  <si>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</si>
  <si>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</si>
  <si>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</si>
  <si>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</si>
  <si>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</si>
  <si>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</si>
  <si>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HERRAMIENTA Y MATERIAL</t>
  </si>
  <si>
    <t>3.00</t>
  </si>
  <si>
    <t>3.01</t>
  </si>
  <si>
    <t>3.02</t>
  </si>
  <si>
    <t>4.00</t>
  </si>
  <si>
    <t>5.00</t>
  </si>
  <si>
    <t>6.00</t>
  </si>
  <si>
    <t>7.00</t>
  </si>
  <si>
    <t>8.00</t>
  </si>
  <si>
    <t>9.00</t>
  </si>
  <si>
    <t>9.01</t>
  </si>
  <si>
    <t>10.00</t>
  </si>
  <si>
    <t>11.00</t>
  </si>
  <si>
    <t>12.00</t>
  </si>
  <si>
    <t>Empaque por metro</t>
  </si>
  <si>
    <t>MATERIAL</t>
  </si>
  <si>
    <t>Bisagra omega 1*3 plgs</t>
  </si>
  <si>
    <t>Brazo de 6 plgs para proyectante</t>
  </si>
  <si>
    <t>Cerrojo pestigo</t>
  </si>
  <si>
    <t>Bisagra omega 3*3 plgs</t>
  </si>
  <si>
    <t>Manija para ventana</t>
  </si>
  <si>
    <t>Bisturí</t>
  </si>
  <si>
    <t>Flexómetro</t>
  </si>
  <si>
    <t>Cerradura pomo</t>
  </si>
  <si>
    <t>Tornillos</t>
  </si>
  <si>
    <t>8.01</t>
  </si>
  <si>
    <t>Tornillos avellan No. 10X2”</t>
  </si>
  <si>
    <t>8.02</t>
  </si>
  <si>
    <t>Tornillos avellan No. 10X2 1/2”</t>
  </si>
  <si>
    <t>8.03</t>
  </si>
  <si>
    <t>Tornillos avellan No. 8X1”</t>
  </si>
  <si>
    <t>8.04</t>
  </si>
  <si>
    <t>Tornillos avellan No. 8X1/2”</t>
  </si>
  <si>
    <t>8.05</t>
  </si>
  <si>
    <t>Tornillos avellan No. 6X3/8”</t>
  </si>
  <si>
    <t>8.06</t>
  </si>
  <si>
    <t>Tornillos pan No. 8X1”</t>
  </si>
  <si>
    <t>8.07</t>
  </si>
  <si>
    <t>Tornillos pan No. 6X1 1/2”</t>
  </si>
  <si>
    <t>8.08</t>
  </si>
  <si>
    <t>Tornillos pan No. 6X3/4”</t>
  </si>
  <si>
    <t>8.09</t>
  </si>
  <si>
    <t>Tornillos pan No. 10X1”</t>
  </si>
  <si>
    <t>8.10</t>
  </si>
  <si>
    <t>8.11</t>
  </si>
  <si>
    <t>Tornillos drywall No. 6X1”</t>
  </si>
  <si>
    <t>Lija</t>
  </si>
  <si>
    <t>Arandelas</t>
  </si>
  <si>
    <t>Tuercas</t>
  </si>
  <si>
    <t>Items</t>
  </si>
  <si>
    <t>Protector de respirador N95</t>
  </si>
  <si>
    <t>Guantes nitrilo</t>
  </si>
  <si>
    <t>Talla S</t>
  </si>
  <si>
    <t>Talla M</t>
  </si>
  <si>
    <t>Glock tamaño carta</t>
  </si>
  <si>
    <t>Talla 42</t>
  </si>
  <si>
    <t>Bisagra de barra antipanico</t>
  </si>
  <si>
    <t>Empaque U</t>
  </si>
  <si>
    <t>4mm</t>
  </si>
  <si>
    <t>AULA</t>
  </si>
  <si>
    <t>Sillas</t>
  </si>
  <si>
    <t>Estudiantil</t>
  </si>
  <si>
    <t>Docente</t>
  </si>
  <si>
    <t>Negra</t>
  </si>
  <si>
    <t>Verde</t>
  </si>
  <si>
    <t>Ejecutiva</t>
  </si>
  <si>
    <t>Plasticas</t>
  </si>
  <si>
    <t>Blokers</t>
  </si>
  <si>
    <t>Gabinetes metalicos</t>
  </si>
  <si>
    <t>Caja de madera</t>
  </si>
  <si>
    <t>Televisor</t>
  </si>
  <si>
    <t>Mesa</t>
  </si>
  <si>
    <t>Cable HDMI</t>
  </si>
  <si>
    <t>Tablero</t>
  </si>
  <si>
    <t>Botiquin</t>
  </si>
  <si>
    <t>Gabinetes de madera</t>
  </si>
  <si>
    <t>Iluminarias</t>
  </si>
  <si>
    <t>Router</t>
  </si>
  <si>
    <t>Escritorios</t>
  </si>
  <si>
    <t>Bisagra omega 1X3</t>
  </si>
  <si>
    <t>Bisagra de brazo de 6 plgs</t>
  </si>
  <si>
    <t>Bisagra omera 3X3</t>
  </si>
  <si>
    <t>Manija para batiente</t>
  </si>
  <si>
    <t>Bisturi</t>
  </si>
  <si>
    <t>Flexometro</t>
  </si>
  <si>
    <t>Bisagra</t>
  </si>
  <si>
    <t>Pasadores</t>
  </si>
  <si>
    <t>Tornillo avellan No. 10X2"</t>
  </si>
  <si>
    <t>Tornillo avellan No. 10X2 1/2"</t>
  </si>
  <si>
    <t>Tornillo avellan No. 8X1"</t>
  </si>
  <si>
    <t>Tornillo avellan No. 8X1/2"</t>
  </si>
  <si>
    <t>Tornillo avellan No. 6X3/8"</t>
  </si>
  <si>
    <t>Tornillo pan No. 8X1"</t>
  </si>
  <si>
    <t>Tornillo pan No. 10X1"</t>
  </si>
  <si>
    <t>Tornillo pan No. 6X1 1/2"</t>
  </si>
  <si>
    <t>Tornillo pan No. 6X3/4"</t>
  </si>
  <si>
    <t>Tornillo drywall No. 6X1"</t>
  </si>
  <si>
    <t>Pasador incompleto</t>
  </si>
  <si>
    <t>Alicates de corte diagonal</t>
  </si>
  <si>
    <t>Cinta transparente ancha</t>
  </si>
  <si>
    <t>Cinta transparente delgada</t>
  </si>
  <si>
    <t>Extensiones</t>
  </si>
  <si>
    <t>Escuadras de angulo</t>
  </si>
  <si>
    <t>Taladro Bosch 3/8 inalambrico</t>
  </si>
  <si>
    <t>Taladro Dewalt 3/8 inalambrico</t>
  </si>
  <si>
    <t>Taladro Dewalt 1/2 inalambrico</t>
  </si>
  <si>
    <t>Taladro percutor Dewalt 1/2 electrico</t>
  </si>
  <si>
    <t>Cargador Bosch</t>
  </si>
  <si>
    <t>Cargadors Dewalt DCB107</t>
  </si>
  <si>
    <t>Bateria DCB120</t>
  </si>
  <si>
    <t>Destornillador phillips de 8 plgs</t>
  </si>
  <si>
    <t>Destornillador phillips de 6 plgs</t>
  </si>
  <si>
    <t>Lima triangular</t>
  </si>
  <si>
    <t>Destornilladores</t>
  </si>
  <si>
    <t>Limas</t>
  </si>
  <si>
    <t>Alicates punta larga</t>
  </si>
  <si>
    <t>Espatulas</t>
  </si>
  <si>
    <t>Espatula de 3 plgs</t>
  </si>
  <si>
    <t>Espatula de 2 plgs</t>
  </si>
  <si>
    <t>Kit de brocas 1/16 a 15/64"</t>
  </si>
  <si>
    <t>Punta de taladro PH2 Phillips</t>
  </si>
  <si>
    <t>Pnta de taladro doble</t>
  </si>
  <si>
    <t>Corta vidrios</t>
  </si>
  <si>
    <t>Sandoval</t>
  </si>
  <si>
    <t>Tornillos No. 8X1" cabeza PAN</t>
  </si>
  <si>
    <t>Tornillos No. 8X1/2" cabeza PAN</t>
  </si>
  <si>
    <t>Tornillos No. 8X3/8" cabeza PAN</t>
  </si>
  <si>
    <t>Juego de punta estrellas doble pieza X10</t>
  </si>
  <si>
    <t>Herramienta</t>
  </si>
  <si>
    <t>Manija 8025-744 (M8025) para puerta de 19,5 cm</t>
  </si>
  <si>
    <t>Manijas para ventana derecha</t>
  </si>
  <si>
    <t>Manijas para ventana izquierda</t>
  </si>
  <si>
    <t>Bisagra omega 3"</t>
  </si>
  <si>
    <t>Bisagra brazo para batiente 6 plgs</t>
  </si>
  <si>
    <t>Cerradura de pomo</t>
  </si>
  <si>
    <t>Chapa KL1070 izquierda</t>
  </si>
  <si>
    <t>Chapa KL1070 derecha</t>
  </si>
  <si>
    <t>Pasador mixto acero inoxidable 8 plgs</t>
  </si>
  <si>
    <t>Chapa inpacto para perfil aluminio 744</t>
  </si>
  <si>
    <t>Rodachina en nilon 5020</t>
  </si>
  <si>
    <t>Rodachina en nilon 744</t>
  </si>
  <si>
    <t>Perfil U division de baño</t>
  </si>
  <si>
    <t>Perfil carrilera division de baño</t>
  </si>
  <si>
    <t>Chapa pico de loro para incrustar</t>
  </si>
  <si>
    <t>Flexometro 5 metros</t>
  </si>
  <si>
    <t>Lima plana cornete 8"</t>
  </si>
  <si>
    <t>Lima media caña fina 8"</t>
  </si>
  <si>
    <t>Lima media caña fina 6"</t>
  </si>
  <si>
    <t>Lima triangular 6"</t>
  </si>
  <si>
    <t>Enchape</t>
  </si>
  <si>
    <t>Tee techo falso</t>
  </si>
  <si>
    <t>Taladro percutor electrico 8000 wats de 1/2"</t>
  </si>
  <si>
    <t>Rodachina triangular en nilon para division de baño</t>
  </si>
  <si>
    <t>Pulidora angular 4 1/2</t>
  </si>
  <si>
    <t>Soporte de toallero</t>
  </si>
  <si>
    <t>Platina toallero</t>
  </si>
  <si>
    <t>Manija de sobreponer para division de baño</t>
  </si>
  <si>
    <t>Disco de pulidora de corte</t>
  </si>
  <si>
    <t>Brocas en tungsteno de 3/16"</t>
  </si>
  <si>
    <t>Brocas en tungsteno de 1/4X4</t>
  </si>
  <si>
    <t>Brocas en tungsteno de 5/16X4</t>
  </si>
  <si>
    <t>Brocas en tungsteno de 1/2X4</t>
  </si>
  <si>
    <t>Tornillos No. 8X1/2" cabeza Avellan</t>
  </si>
  <si>
    <t>Remaches pop 1/8X1/2</t>
  </si>
  <si>
    <t>Empaque perfil cuña persion 3831 4mm Ck373</t>
  </si>
  <si>
    <t>Empaque spaguetti o estrella 5,7mm</t>
  </si>
  <si>
    <t>Angulo  1-1/2X1/8</t>
  </si>
  <si>
    <t>kit de llaves mixtas</t>
  </si>
  <si>
    <t>kit de llaves bristol</t>
  </si>
  <si>
    <t>Hombresolo 7 plgs</t>
  </si>
  <si>
    <t>Prensa esquinera de aluminio 3 plgs</t>
  </si>
  <si>
    <t>Bisagra omega 1X3 plgs</t>
  </si>
  <si>
    <t>Tornillos No. 10X2" cabeza Avellan</t>
  </si>
  <si>
    <t>Tornillos No. 10X2-1/2" cabeza Avellan</t>
  </si>
  <si>
    <t>Tornillos No. 8X1" cabeza Avellan</t>
  </si>
  <si>
    <t>Tornillos No. 6X1-1/2" cabeza Avellan</t>
  </si>
  <si>
    <t>Tornillos No. 6X3/8" cabeza Avellan</t>
  </si>
  <si>
    <t>Marco ventana</t>
  </si>
  <si>
    <t>marco ventana</t>
  </si>
  <si>
    <t>Ventana proyectante</t>
  </si>
  <si>
    <t>Aprendices</t>
  </si>
  <si>
    <t>Ventana corredera</t>
  </si>
  <si>
    <t>Ventana batiente</t>
  </si>
  <si>
    <t>Ventana proyectante con batiente</t>
  </si>
  <si>
    <t>Division de baño</t>
  </si>
  <si>
    <t>Ventanas y division de baño</t>
  </si>
  <si>
    <t>Ventana proyectante con batiente, corredera</t>
  </si>
  <si>
    <t>Divisiones de baño</t>
  </si>
  <si>
    <t>Ventana proyectante con batiente, corredera, division de baño</t>
  </si>
  <si>
    <t>Tornillos No. 6X1/2" cabeza Avellan</t>
  </si>
  <si>
    <t>Ventana corredera,  proyectante</t>
  </si>
  <si>
    <t>Remaches pop 5/32X9/16</t>
  </si>
  <si>
    <t>Remaches pop 5/32X5/16</t>
  </si>
  <si>
    <t>Ing. Fernando</t>
  </si>
  <si>
    <t>Division de baño y proyectante</t>
  </si>
  <si>
    <t>Remaches pop 5/32X3/8</t>
  </si>
  <si>
    <t>Herraje</t>
  </si>
  <si>
    <t>Ventna proyectante</t>
  </si>
  <si>
    <t>No.</t>
  </si>
  <si>
    <t>Placa</t>
  </si>
  <si>
    <t>Caja</t>
  </si>
  <si>
    <t>Caja y placa</t>
  </si>
  <si>
    <t>Responsable</t>
  </si>
  <si>
    <t>x</t>
  </si>
  <si>
    <t>Daniel</t>
  </si>
  <si>
    <t>Fernando</t>
  </si>
  <si>
    <t>Total</t>
  </si>
  <si>
    <t>Ubicación</t>
  </si>
  <si>
    <t>Banco</t>
  </si>
  <si>
    <t>Inventario</t>
  </si>
  <si>
    <t>Protector de respirador por caja (50 und)</t>
  </si>
  <si>
    <t>Ar. Negro</t>
  </si>
  <si>
    <t>Resma de papel tamaño carta</t>
  </si>
  <si>
    <t>Protector auditivo tipo copa</t>
  </si>
  <si>
    <t>Protector auditivo tipo inserccion</t>
  </si>
  <si>
    <t>Guantes de nitrilo</t>
  </si>
  <si>
    <t>Guantes de vaqueta</t>
  </si>
  <si>
    <t>Protector visual (Gafas)</t>
  </si>
  <si>
    <t>Overol talla XXL</t>
  </si>
  <si>
    <t>Botas de seguridad talla 34</t>
  </si>
  <si>
    <t>Botas de seguridad talla 39</t>
  </si>
  <si>
    <t>Botas de seguridad talla 40</t>
  </si>
  <si>
    <t>Botas de seguridad talla 42</t>
  </si>
  <si>
    <t>Protector visual (Careta esmeril)</t>
  </si>
  <si>
    <t>Equipo PC</t>
  </si>
  <si>
    <t>95141025022*</t>
  </si>
  <si>
    <t>95141025025*</t>
  </si>
  <si>
    <t>Equipo portantil hp</t>
  </si>
  <si>
    <t>Cajas para equipo portatil hp</t>
  </si>
  <si>
    <t>95141024937*</t>
  </si>
  <si>
    <t>95141025051*</t>
  </si>
  <si>
    <t>95141024782*</t>
  </si>
  <si>
    <t>Caja2</t>
  </si>
  <si>
    <t>Placa3</t>
  </si>
  <si>
    <t>Ar. Blanco</t>
  </si>
  <si>
    <t>Destornillador inalambrico Makita</t>
  </si>
  <si>
    <t>Caja de herramientas</t>
  </si>
  <si>
    <t>Taladro dewalt 1/2 inalambrico</t>
  </si>
  <si>
    <t>Pulidora dewalt 4,5"</t>
  </si>
  <si>
    <t>Lima cuchillo 8"</t>
  </si>
  <si>
    <t>Para el reemplazo de una existente</t>
  </si>
  <si>
    <t>Alicante corta frio</t>
  </si>
  <si>
    <t>Destornillador plano y estrella</t>
  </si>
  <si>
    <t>Prensa tipo C de aluminio 3 plgs</t>
  </si>
  <si>
    <t>Bisturin</t>
  </si>
  <si>
    <t>Raspa vidrios</t>
  </si>
  <si>
    <t>Tornillos No. 8X1-1/4" cabeza PAN</t>
  </si>
  <si>
    <t>Tornillos No. 10X2-1/2" cabeza PAN</t>
  </si>
  <si>
    <t>Ventan celosia</t>
  </si>
  <si>
    <t>Tornillos No. 8X3/4" cabeza Avellan</t>
  </si>
  <si>
    <t>Remaches pop 1/8X3/8</t>
  </si>
  <si>
    <t>Rodamientos</t>
  </si>
  <si>
    <t xml:space="preserve">Ventana proyectante </t>
  </si>
  <si>
    <t>Dorada</t>
  </si>
  <si>
    <t>Mantenimiento</t>
  </si>
  <si>
    <t>Puerta</t>
  </si>
  <si>
    <t>Varilla 1/2</t>
  </si>
  <si>
    <t>Perfil F</t>
  </si>
  <si>
    <t>Perfil U de remate</t>
  </si>
  <si>
    <t>Riel o cabezal para division de baño</t>
  </si>
  <si>
    <t>canal con aleta descentrada (3X1)" (72,6X37,4) mm</t>
  </si>
  <si>
    <t>Tubular 1X1</t>
  </si>
  <si>
    <t>Celosia</t>
  </si>
  <si>
    <t>Tubular (1"X1") con una aleta</t>
  </si>
  <si>
    <t>Vitrina</t>
  </si>
  <si>
    <t>Taller</t>
  </si>
  <si>
    <t>Taladro percutor electrico DW505 de 1/2"</t>
  </si>
  <si>
    <t>Escobon</t>
  </si>
  <si>
    <t>General</t>
  </si>
  <si>
    <t>Banco para acolilladora</t>
  </si>
  <si>
    <t>Espejo</t>
  </si>
  <si>
    <t>Estante negro con madera</t>
  </si>
  <si>
    <t>Mesa de aprendiz</t>
  </si>
  <si>
    <t>Escritorio para instructor</t>
  </si>
  <si>
    <t>Sillas metalicas con base y espaldar plastico color verde</t>
  </si>
  <si>
    <t>Sillas plasticas color verde</t>
  </si>
  <si>
    <t xml:space="preserve">Stantes </t>
  </si>
  <si>
    <t xml:space="preserve">Banco de trabajo para aluminio </t>
  </si>
  <si>
    <t>Soporte para aluminio</t>
  </si>
  <si>
    <t>Planeadora</t>
  </si>
  <si>
    <t>PM-02</t>
  </si>
  <si>
    <t>MP-03</t>
  </si>
  <si>
    <t>Sierras</t>
  </si>
  <si>
    <t>PM-04</t>
  </si>
  <si>
    <t>PM-05</t>
  </si>
  <si>
    <t>Radial PM-01</t>
  </si>
  <si>
    <t>M-01</t>
  </si>
  <si>
    <t>M-04</t>
  </si>
  <si>
    <t>M-02</t>
  </si>
  <si>
    <t>Radial</t>
  </si>
  <si>
    <t>Cepillo</t>
  </si>
  <si>
    <t>PM-111</t>
  </si>
  <si>
    <t>Copiadora o fresadora de aluminio</t>
  </si>
  <si>
    <t>Restesteadora</t>
  </si>
  <si>
    <t>Ingleteadora o acolilladora Dewalt</t>
  </si>
  <si>
    <t>Ingleteadora o acolilladora Makita</t>
  </si>
  <si>
    <t>Ingleteadora o acolilladora Colmat</t>
  </si>
  <si>
    <t>Taladro multiple</t>
  </si>
  <si>
    <t>Esmeril</t>
  </si>
  <si>
    <t>Estratores</t>
  </si>
  <si>
    <t>Enchapadora</t>
  </si>
  <si>
    <t>Trompo</t>
  </si>
  <si>
    <t>Lijadora</t>
  </si>
  <si>
    <t>Afiladoras de madera</t>
  </si>
  <si>
    <t>Banco aluminio</t>
  </si>
  <si>
    <t>Banco madera</t>
  </si>
  <si>
    <t>Banco metalico</t>
  </si>
  <si>
    <t>Compresor</t>
  </si>
  <si>
    <t>100 lb</t>
  </si>
  <si>
    <t>150 lb</t>
  </si>
  <si>
    <t>Troqueles</t>
  </si>
  <si>
    <t>Lanzas llamas</t>
  </si>
  <si>
    <t>Gabinete 1</t>
  </si>
  <si>
    <t>Grapadora de clavos</t>
  </si>
  <si>
    <t>Graduador</t>
  </si>
  <si>
    <t>Llave de tubo</t>
  </si>
  <si>
    <t>Falsa escuadras</t>
  </si>
  <si>
    <t>Cepillo carpintero</t>
  </si>
  <si>
    <t>Gabinete 2</t>
  </si>
  <si>
    <t>Caladora</t>
  </si>
  <si>
    <t xml:space="preserve">Sargento </t>
  </si>
  <si>
    <t>Tijeras para lamina</t>
  </si>
  <si>
    <t>Prensa</t>
  </si>
  <si>
    <t>Gabinete de aseo</t>
  </si>
  <si>
    <t>Recogedores</t>
  </si>
  <si>
    <t>Escobas</t>
  </si>
  <si>
    <t>Traperos</t>
  </si>
  <si>
    <t>Restregaderos</t>
  </si>
  <si>
    <t>Sillas con tapizado en negro</t>
  </si>
  <si>
    <t>Aula</t>
  </si>
  <si>
    <t>Gabinetes</t>
  </si>
  <si>
    <t>Mesas de aprendiz</t>
  </si>
  <si>
    <t>silla para docente</t>
  </si>
  <si>
    <t>Ventanas, division de baño y puerta</t>
  </si>
  <si>
    <t>puertas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</si>
</sst>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22" x14ac:knownFonts="1">
    <font>
      <sz val="10"/>
      <color theme="1"/>
      <name val="Calibri"/>
      <scheme val="minor"/>
    </font>
    <font>
      <sz val="10"/>
      <color theme="1"/>
      <name val="Calibri"/>
      <family val="2"/>
    </font>
    <font>
      <sz val="10"/>
      <color theme="1"/>
      <name val="Calibri"/>
      <family val="2"/>
    </font>
    <font>
      <sz val="10"/>
      <color theme="1"/>
      <name val="Calibri"/>
      <family val="2"/>
    </font>
    <font>
      <sz val="10"/>
      <color theme="1"/>
      <name val="Calibri"/>
      <family val="2"/>
    </font>
    <font>
      <sz val="10"/>
      <color theme="1"/>
      <name val="Calibri"/>
      <family val="2"/>
    </font>
    <font>
      <sz val="10"/>
      <color theme="1"/>
      <name val="Calibri"/>
      <family val="2"/>
    </font>
    <font>
      <sz val="10"/>
      <color theme="1"/>
      <name val="Calibri"/>
      <family val="2"/>
    </font>
    <font>
      <sz val="10"/>
      <color theme="1"/>
      <name val="Calibri"/>
      <family val="2"/>
    </font>
    <font>
      <b/>
      <sz val="10"/>
      <color theme="1"/>
      <name val="Calibri"/>
      <family val="2"/>
    </font>
    <font>
      <sz val="10"/>
      <color theme="1"/>
      <name val="Calibri"/>
      <family val="2"/>
    </font>
    <font>
      <b/>
      <sz val="10"/>
      <color rgb="FF00B050"/>
      <name val="Calibri"/>
      <family val="2"/>
    </font>
    <font>
      <b/>
      <sz val="10"/>
      <color rgb="FFFF0000"/>
      <name val="Calibri"/>
      <family val="2"/>
    </font>
    <font>
      <sz val="10"/>
      <name val="Calibri"/>
      <family val="2"/>
    </font>
    <font>
      <sz val="10"/>
      <color theme="1"/>
      <name val="Calibri"/>
      <family val="2"/>
      <scheme val="minor"/>
    </font>
    <font>
      <sz val="12"/>
      <color theme="1"/>
      <name val="Aptos"/>
      <family val="2"/>
    </font>
    <font>
      <b/>
      <sz val="12"/>
      <color theme="1"/>
      <name val="Calibri"/>
      <family val="2"/>
    </font>
    <font>
      <sz val="12"/>
      <color theme="1"/>
      <name val="Calibri"/>
      <family val="2"/>
    </font>
    <font>
      <b/>
      <sz val="10"/>
      <color theme="1"/>
      <name val="Calibri"/>
      <family val="2"/>
      <scheme val="minor"/>
    </font>
    <font>
      <sz val="10"/>
      <color theme="1"/>
      <name val="Calibri"/>
      <family val="2"/>
      <scheme val="minor"/>
    </font>
    <font>
      <b/>
      <sz val="10"/>
      <color theme="1"/>
      <name val="Calibri"/>
      <scheme val="minor"/>
    </font>
    <font>
      <sz val="8"/>
      <name val="Calibri"/>
      <family val="2"/>
      <scheme val="minor"/>
    </font>
  </fonts>
  <fills count="8">
    <fill>
      <patternFill patternType="none"/>
    </fill>
    <fill>
      <patternFill patternType="gray125"/>
    </fill>
    <fill>
      <patternFill patternType="solid">
        <fgColor rgb="FFB4C6E7"/>
        <bgColor rgb="FFB4C6E7"/>
      </patternFill>
    </fill>
    <fill>
      <patternFill patternType="solid">
        <fgColor rgb="FFF2F2F2"/>
        <bgColor rgb="FFF2F2F2"/>
      </patternFill>
    </fill>
    <fill>
      <patternFill patternType="solid">
        <fgColor rgb="FFFBE4D5"/>
        <bgColor rgb="FFFBE4D5"/>
      </patternFill>
    </fill>
    <fill>
      <patternFill patternType="solid">
        <fgColor rgb="FFE2EFD9"/>
        <bgColor rgb="FFE2EFD9"/>
      </patternFill>
    </fill>
    <fill>
      <patternFill patternType="solid">
        <fgColor theme="0"/>
        <bgColor rgb="FFF2F2F2"/>
      </patternFill>
    </fill>
    <fill>
      <patternFill patternType="solid">
        <fgColor theme="0" tint="-0.149998474074526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top/>
      <bottom style="medium">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14"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164" fontId="10" fillId="0" borderId="0" xfId="0" applyNumberFormat="1" applyFont="1" applyAlignment="1">
      <alignment horizontal="center" vertical="center"/>
    </xf>
    <xf numFmtId="0" fontId="15" fillId="0" borderId="0" xfId="0" applyFont="1" applyAlignment="1">
      <alignment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6" xfId="0" applyFont="1" applyBorder="1" applyAlignment="1">
      <alignment vertical="center" wrapText="1"/>
    </xf>
    <xf numFmtId="0" fontId="17" fillId="0" borderId="5" xfId="0" applyFont="1" applyBorder="1" applyAlignment="1">
      <alignment horizontal="center" vertical="center" wrapText="1"/>
    </xf>
    <xf numFmtId="0" fontId="17" fillId="0" borderId="6" xfId="0" applyFont="1" applyBorder="1" applyAlignment="1">
      <alignment vertical="center" wrapText="1"/>
    </xf>
    <xf numFmtId="0" fontId="17" fillId="0" borderId="6" xfId="0" applyFont="1" applyBorder="1" applyAlignment="1">
      <alignment horizontal="center" vertical="center" wrapText="1"/>
    </xf>
    <xf numFmtId="0" fontId="16" fillId="0" borderId="0" xfId="0" applyFont="1" applyAlignment="1">
      <alignment horizontal="center" vertical="center" wrapText="1"/>
    </xf>
    <xf numFmtId="0" fontId="15" fillId="0" borderId="7" xfId="0" applyFont="1" applyBorder="1" applyAlignment="1">
      <alignment vertical="center" wrapText="1"/>
    </xf>
    <xf numFmtId="0" fontId="15" fillId="0" borderId="0" xfId="0" applyFont="1" applyAlignment="1">
      <alignment vertical="center"/>
    </xf>
    <xf numFmtId="0" fontId="18" fillId="0" borderId="0" xfId="0" applyFont="1" applyAlignment="1">
      <alignment horizontal="center"/>
    </xf>
    <xf numFmtId="165" fontId="0" fillId="0" borderId="0" xfId="0" applyNumberFormat="1" applyAlignment="1">
      <alignment horizontal="center" vertical="center"/>
    </xf>
    <xf numFmtId="0" fontId="19" fillId="0" borderId="0" xfId="0" applyFont="1"/>
    <xf numFmtId="164" fontId="8" fillId="0" borderId="1" xfId="0" applyNumberFormat="1" applyFont="1" applyBorder="1" applyAlignment="1">
      <alignment horizontal="center" vertical="center"/>
    </xf>
    <xf numFmtId="0" fontId="8" fillId="0" borderId="1" xfId="0" applyFont="1" applyBorder="1" applyAlignment="1">
      <alignment horizontal="center"/>
    </xf>
    <xf numFmtId="0" fontId="8" fillId="0" borderId="1" xfId="0" applyFont="1" applyBorder="1"/>
    <xf numFmtId="0" fontId="8" fillId="0" borderId="1" xfId="0" applyFont="1" applyBorder="1" applyAlignment="1">
      <alignment horizontal="center" vertical="center"/>
    </xf>
    <xf numFmtId="0" fontId="0" fillId="0" borderId="0" xfId="0" applyAlignment="1">
      <alignment horizontal="center" vertical="center" wrapText="1"/>
    </xf>
    <xf numFmtId="0" fontId="20" fillId="0" borderId="0" xfId="0" applyFont="1" applyAlignment="1">
      <alignment horizontal="center" vertical="center" wrapText="1"/>
    </xf>
    <xf numFmtId="1" fontId="0" fillId="0" borderId="0" xfId="0" applyNumberFormat="1" applyAlignment="1">
      <alignment horizontal="center" vertical="center" wrapText="1"/>
    </xf>
    <xf numFmtId="164" fontId="0" fillId="0" borderId="0" xfId="0" applyNumberFormat="1" applyAlignment="1">
      <alignment horizontal="center" vertical="center" wrapText="1"/>
    </xf>
    <xf numFmtId="0" fontId="9" fillId="2" borderId="8" xfId="0" applyFont="1" applyFill="1" applyBorder="1" applyAlignment="1">
      <alignment horizontal="center" vertical="center"/>
    </xf>
    <xf numFmtId="164" fontId="8" fillId="0" borderId="8" xfId="0" applyNumberFormat="1" applyFont="1" applyBorder="1" applyAlignment="1">
      <alignment horizontal="center" vertical="center"/>
    </xf>
    <xf numFmtId="0" fontId="8" fillId="0" borderId="8" xfId="0" applyFont="1" applyBorder="1" applyAlignment="1">
      <alignment horizontal="center"/>
    </xf>
    <xf numFmtId="0" fontId="8" fillId="0" borderId="8" xfId="0" applyFont="1" applyBorder="1"/>
    <xf numFmtId="0" fontId="14" fillId="0" borderId="8" xfId="0" applyFont="1" applyBorder="1"/>
    <xf numFmtId="0" fontId="8" fillId="0" borderId="8" xfId="0" applyFont="1" applyBorder="1" applyAlignment="1">
      <alignment horizontal="center" vertical="center"/>
    </xf>
    <xf numFmtId="0" fontId="11" fillId="0" borderId="8" xfId="0" applyFont="1" applyBorder="1" applyAlignment="1">
      <alignment horizontal="center" vertical="center"/>
    </xf>
    <xf numFmtId="0" fontId="12" fillId="0" borderId="8" xfId="0" applyFont="1" applyBorder="1" applyAlignment="1">
      <alignment horizontal="center" vertical="center"/>
    </xf>
    <xf numFmtId="0" fontId="9" fillId="3" borderId="8" xfId="0" applyFont="1" applyFill="1" applyBorder="1" applyAlignment="1">
      <alignment horizontal="center"/>
    </xf>
    <xf numFmtId="0" fontId="9" fillId="4" borderId="8" xfId="0" applyFont="1" applyFill="1" applyBorder="1" applyAlignment="1">
      <alignment horizontal="center" vertical="center"/>
    </xf>
    <xf numFmtId="0" fontId="9" fillId="5" borderId="8" xfId="0" applyFont="1" applyFill="1" applyBorder="1" applyAlignment="1">
      <alignment horizontal="center" vertical="center"/>
    </xf>
    <xf numFmtId="0" fontId="9" fillId="0" borderId="8" xfId="0" applyFont="1" applyBorder="1" applyAlignment="1">
      <alignment horizontal="center"/>
    </xf>
    <xf numFmtId="0" fontId="9" fillId="6" borderId="8" xfId="0" applyFont="1" applyFill="1" applyBorder="1" applyAlignment="1">
      <alignment horizontal="center"/>
    </xf>
    <xf numFmtId="0" fontId="4" fillId="0" borderId="8" xfId="0" applyFont="1" applyBorder="1" applyAlignment="1">
      <alignment horizontal="center" vertical="center"/>
    </xf>
    <xf numFmtId="0" fontId="7" fillId="0" borderId="8" xfId="0" applyFont="1" applyBorder="1" applyAlignment="1">
      <alignment horizontal="center" vertical="center"/>
    </xf>
    <xf numFmtId="0" fontId="5" fillId="0" borderId="8" xfId="0" applyFont="1" applyBorder="1"/>
    <xf numFmtId="0" fontId="6" fillId="0" borderId="8" xfId="0" applyFont="1" applyBorder="1"/>
    <xf numFmtId="0" fontId="4" fillId="0" borderId="8" xfId="0" applyFont="1" applyBorder="1" applyAlignment="1">
      <alignment horizontal="center"/>
    </xf>
    <xf numFmtId="0" fontId="14" fillId="0" borderId="8" xfId="0" applyFont="1" applyBorder="1" applyAlignment="1">
      <alignment horizontal="center"/>
    </xf>
    <xf numFmtId="0" fontId="13" fillId="0" borderId="1" xfId="0" applyFont="1" applyBorder="1" applyAlignment="1">
      <alignment horizontal="center" vertical="center"/>
    </xf>
    <xf numFmtId="0" fontId="3" fillId="0" borderId="8" xfId="0" applyFont="1" applyBorder="1"/>
    <xf numFmtId="0" fontId="3" fillId="0" borderId="8" xfId="0" applyFont="1" applyBorder="1" applyAlignment="1">
      <alignment horizontal="center"/>
    </xf>
    <xf numFmtId="0" fontId="9" fillId="7" borderId="8" xfId="0" applyFont="1" applyFill="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xf>
    <xf numFmtId="0" fontId="2" fillId="0" borderId="8" xfId="0" applyFont="1" applyBorder="1"/>
    <xf numFmtId="14" fontId="8" fillId="0" borderId="8" xfId="0" applyNumberFormat="1" applyFont="1" applyBorder="1" applyAlignment="1">
      <alignment horizontal="center" vertical="center"/>
    </xf>
    <xf numFmtId="0" fontId="2" fillId="0" borderId="8" xfId="0" applyFont="1" applyBorder="1" applyAlignment="1">
      <alignment horizontal="left"/>
    </xf>
    <xf numFmtId="0" fontId="8" fillId="0" borderId="8" xfId="0" applyFont="1" applyBorder="1" applyAlignment="1">
      <alignment horizontal="left"/>
    </xf>
    <xf numFmtId="164" fontId="9" fillId="5" borderId="9" xfId="0" applyNumberFormat="1" applyFont="1" applyFill="1" applyBorder="1" applyAlignment="1">
      <alignment horizontal="center" vertical="center"/>
    </xf>
    <xf numFmtId="164" fontId="9" fillId="5" borderId="10" xfId="0" applyNumberFormat="1" applyFont="1" applyFill="1" applyBorder="1" applyAlignment="1">
      <alignment horizontal="center" vertical="center"/>
    </xf>
    <xf numFmtId="164" fontId="9" fillId="5" borderId="11" xfId="0" applyNumberFormat="1" applyFont="1" applyFill="1" applyBorder="1" applyAlignment="1">
      <alignment horizontal="center" vertical="center"/>
    </xf>
    <xf numFmtId="164" fontId="9" fillId="4" borderId="8" xfId="0" applyNumberFormat="1" applyFont="1" applyFill="1" applyBorder="1" applyAlignment="1">
      <alignment horizontal="center" vertical="center"/>
    </xf>
    <xf numFmtId="0" fontId="9" fillId="4" borderId="8" xfId="0" applyFont="1" applyFill="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left"/>
    </xf>
    <xf numFmtId="164" fontId="9" fillId="5" borderId="8" xfId="0" applyNumberFormat="1" applyFont="1" applyFill="1" applyBorder="1" applyAlignment="1">
      <alignment horizontal="center" vertical="center"/>
    </xf>
    <xf numFmtId="1" fontId="8" fillId="0" borderId="8" xfId="0" applyNumberFormat="1" applyFont="1" applyBorder="1" applyAlignment="1">
      <alignment horizontal="left"/>
    </xf>
    <xf numFmtId="1" fontId="3" fillId="0" borderId="8" xfId="0" applyNumberFormat="1" applyFont="1" applyBorder="1" applyAlignment="1">
      <alignment horizontal="left"/>
    </xf>
    <xf numFmtId="0" fontId="18" fillId="0" borderId="0" xfId="0" applyFont="1" applyAlignment="1">
      <alignment horizontal="center"/>
    </xf>
    <xf numFmtId="0" fontId="17" fillId="0" borderId="2" xfId="0" applyFont="1" applyBorder="1" applyAlignment="1">
      <alignment horizontal="center" vertical="center" wrapText="1"/>
    </xf>
    <xf numFmtId="0" fontId="13" fillId="0" borderId="4" xfId="0" applyFont="1" applyBorder="1"/>
    <xf numFmtId="0" fontId="16" fillId="0" borderId="2" xfId="0" applyFont="1" applyBorder="1" applyAlignment="1">
      <alignment horizontal="center" vertical="center" wrapText="1"/>
    </xf>
    <xf numFmtId="0" fontId="13" fillId="0" borderId="3" xfId="0" applyFont="1" applyBorder="1"/>
    <xf numFmtId="0" fontId="1" fillId="0" borderId="8" xfId="0" applyFont="1" applyBorder="1" applyAlignment="1">
      <alignment horizontal="left"/>
    </xf>
    <xf numFmtId="14" fontId="1" fillId="0" borderId="8" xfId="0" applyNumberFormat="1" applyFont="1" applyBorder="1" applyAlignment="1">
      <alignment horizontal="center" vertical="center"/>
    </xf>
  </cellXfs>
  <cellStyles count="1">
    <cellStyle name="Normal" xfId="0" builtinId="0"/>
  </cellStyles>
  <dxfs count="199">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solid">
          <bgColor theme="0" tint="-4.9989318521683403E-2"/>
        </patternFill>
      </fill>
    </dxf>
    <dxf>
      <font>
        <b/>
        <color rgb="FFFF0000"/>
      </font>
      <fill>
        <patternFill patternType="none"/>
      </fill>
    </dxf>
    <dxf>
      <font>
        <b/>
        <color rgb="FF00B050"/>
      </font>
      <fill>
        <patternFill patternType="solid">
          <bgColor theme="0" tint="-4.9989318521683403E-2"/>
        </patternFill>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color rgb="FFFF0000"/>
      </font>
      <fill>
        <patternFill patternType="none"/>
      </fill>
    </dxf>
    <dxf>
      <font>
        <b/>
        <color rgb="FF00B050"/>
      </font>
      <fill>
        <patternFill patternType="none"/>
      </fill>
    </dxf>
    <dxf>
      <font>
        <b/>
        <i val="0"/>
        <color rgb="FFFF0000"/>
      </font>
    </dxf>
    <dxf>
      <font>
        <b/>
        <i val="0"/>
        <color rgb="FF00B050"/>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64" formatCode="000"/>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FE28B-B5BE-40E9-855D-E6F784B0F61B}" name="Tabla1" displayName="Tabla1" ref="B3:H24" totalsRowShown="0" headerRowDxfId="198" dataDxfId="197">
  <tableColumns count="7">
    <tableColumn id="1" xr3:uid="{1996D1C2-CD7F-4523-BDFA-C8C0F766E55B}" name="No." dataDxfId="196"/>
    <tableColumn id="2" xr3:uid="{75128FA2-A703-4649-8CBD-D98A434D6080}" name="Placa" dataDxfId="195"/>
    <tableColumn id="3" xr3:uid="{5B886F96-8271-4999-B537-964025D71C1F}" name="Caja" dataDxfId="194"/>
    <tableColumn id="4" xr3:uid="{F90E8FCC-01C7-4E46-A923-86D7F7C31D62}" name="Caja2" dataDxfId="193"/>
    <tableColumn id="5" xr3:uid="{D8590F46-61A0-4F66-815E-CD5A6DB249F8}" name="Caja y placa" dataDxfId="192"/>
    <tableColumn id="6" xr3:uid="{52159527-76A3-4D29-A42F-48B0B1474962}" name="Placa3" dataDxfId="191"/>
    <tableColumn id="7" xr3:uid="{CE19968B-4C1A-438E-87BD-1C33EBE7A0BC}" name="Responsable" dataDxfId="19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L998"/>
  <sheetViews>
    <sheetView tabSelected="1" workbookViewId="0">
      <pane xSplit="1" ySplit="1" topLeftCell="B47" activePane="bottomRight" state="frozen"/>
      <selection pane="topRight" activeCell="B1" sqref="B1"/>
      <selection pane="bottomLeft" activeCell="A2" sqref="A2"/>
      <selection pane="bottomRight" activeCell="D49" sqref="D49"/>
    </sheetView>
  </sheetViews>
  <sheetFormatPr baseColWidth="10" defaultColWidth="14.42578125" defaultRowHeight="15" customHeight="1" x14ac:dyDescent="0.2"/>
  <cols>
    <col min="1" max="1" width="4.7109375" bestFit="1" customWidth="1"/>
    <col min="2" max="2" width="9.28515625" bestFit="1" customWidth="1"/>
    <col min="3" max="3" width="11.28515625" bestFit="1" customWidth="1"/>
    <col min="4" max="4" width="54.85546875" bestFit="1" customWidth="1"/>
    <col min="5" max="5" width="14.42578125" bestFit="1" customWidth="1"/>
    <col min="6" max="6" width="12.7109375" bestFit="1" customWidth="1"/>
    <col min="7" max="7" width="5" bestFit="1" customWidth="1"/>
    <col min="8" max="8" width="6.42578125" bestFit="1" customWidth="1"/>
    <col min="9" max="9" width="7.85546875" bestFit="1" customWidth="1"/>
    <col min="10" max="11" width="7" bestFit="1" customWidth="1"/>
    <col min="12" max="12" width="6" bestFit="1" customWidth="1"/>
    <col min="13" max="24" width="10.7109375" customWidth="1"/>
  </cols>
  <sheetData>
    <row r="1" spans="1:12" ht="12.75" customHeight="1" x14ac:dyDescent="0.2">
      <c r="A1" s="26" t="s">
        <v>0</v>
      </c>
      <c r="B1" s="26" t="s">
        <v>1</v>
      </c>
      <c r="C1" s="26" t="s">
        <v>2</v>
      </c>
      <c r="D1" s="26" t="s">
        <v>3</v>
      </c>
      <c r="E1" s="26" t="s">
        <v>361</v>
      </c>
      <c r="F1" s="26" t="s">
        <v>4</v>
      </c>
      <c r="G1" s="26" t="s">
        <v>5</v>
      </c>
      <c r="H1" s="26" t="s">
        <v>6</v>
      </c>
      <c r="I1" s="26" t="s">
        <v>7</v>
      </c>
      <c r="J1" s="26" t="s">
        <v>8</v>
      </c>
      <c r="K1" s="26" t="s">
        <v>9</v>
      </c>
      <c r="L1" s="26" t="s">
        <v>10</v>
      </c>
    </row>
    <row r="2" spans="1:12" ht="12.75" customHeight="1" x14ac:dyDescent="0.2">
      <c r="A2" s="18">
        <v>1</v>
      </c>
      <c r="B2" s="19">
        <f>IF(IFERROR(VLOOKUP(A2,Kardex!$A$1:$K$1498,2,FALSE),"")=0,"",IFERROR(VLOOKUP(A2,Kardex!$A$1:$K$1498,2,FALSE),""))</f>
        <v>3779</v>
      </c>
      <c r="C2" s="19" t="str">
        <f>IFERROR(VLOOKUP(A2,Kardex!$A$1:$K$1498,3,FALSE),"")</f>
        <v>Perfil</v>
      </c>
      <c r="D2" s="20" t="str">
        <f>IFERROR(VLOOKUP(A2,Kardex!$A$1:$K$1498,4,FALSE),"")</f>
        <v>Marco liso VP 3831 (38X30,9) mm</v>
      </c>
      <c r="E2" s="21" t="str">
        <f>IFERROR(VLOOKUP(A2,Kardex!$A$1:$K$1498,5,FALSE),"")</f>
        <v>Banco</v>
      </c>
      <c r="F2" s="21" t="str">
        <f>IFERROR(VLOOKUP(A2,Kardex!$A$1:$K$1498,6,FALSE),"")</f>
        <v>Blanco pintura</v>
      </c>
      <c r="G2" s="21">
        <f>IFERROR(VLOOKUP(A2,Kardex!$A$1:$K$1498,7,FALSE),"")</f>
        <v>3831</v>
      </c>
      <c r="H2" s="21" t="str">
        <f>IFERROR(VLOOKUP(A2,Kardex!$A$1:$K$1498,8,FALSE),"")</f>
        <v>un</v>
      </c>
      <c r="I2" s="45">
        <f>IFERROR(VLOOKUP($A2,Kardex!$A$1:$L$1498,9,FALSE),"")</f>
        <v>13</v>
      </c>
      <c r="J2" s="45">
        <f>IFERROR(VLOOKUP($A2,Kardex!$A$1:$L$1498,10,FALSE),"")</f>
        <v>5</v>
      </c>
      <c r="K2" s="45">
        <f>IFERROR(VLOOKUP($A2,Kardex!$A$1:$L$1498,11,FALSE),"")</f>
        <v>4</v>
      </c>
      <c r="L2" s="45">
        <f>IFERROR(VLOOKUP($A2,Kardex!$A$1:$L$1498,12,FALSE),"")</f>
        <v>14</v>
      </c>
    </row>
    <row r="3" spans="1:12" ht="12.75" customHeight="1" x14ac:dyDescent="0.2">
      <c r="A3" s="18">
        <v>2</v>
      </c>
      <c r="B3" s="19">
        <f>IF(IFERROR(VLOOKUP(A3,Kardex!$A$1:$K$1498,2,FALSE),"")=0,"",IFERROR(VLOOKUP(A3,Kardex!$A$1:$K$1498,2,FALSE),""))</f>
        <v>3779</v>
      </c>
      <c r="C3" s="19" t="str">
        <f>IFERROR(VLOOKUP(A3,Kardex!$A$1:$K$1498,3,FALSE),"")</f>
        <v>Perfil</v>
      </c>
      <c r="D3" s="20" t="str">
        <f>IFERROR(VLOOKUP(A3,Kardex!$A$1:$K$1498,4,FALSE),"")</f>
        <v>Marco liso VP 3831 (38X30,9) mm</v>
      </c>
      <c r="E3" s="21" t="str">
        <f>IFERROR(VLOOKUP(A3,Kardex!$A$1:$K$1498,5,FALSE),"")</f>
        <v>Banco</v>
      </c>
      <c r="F3" s="21" t="str">
        <f>IFERROR(VLOOKUP(A3,Kardex!$A$1:$K$1498,6,FALSE),"")</f>
        <v>Blanco mate</v>
      </c>
      <c r="G3" s="21">
        <f>IFERROR(VLOOKUP(A3,Kardex!$A$1:$K$1498,7,FALSE),"")</f>
        <v>3831</v>
      </c>
      <c r="H3" s="21" t="str">
        <f>IFERROR(VLOOKUP(A3,Kardex!$A$1:$K$1498,8,FALSE),"")</f>
        <v>un</v>
      </c>
      <c r="I3" s="45">
        <f>IFERROR(VLOOKUP($A3,Kardex!$A$1:$L$1498,9,FALSE),"")</f>
        <v>1</v>
      </c>
      <c r="J3" s="45">
        <f>IFERROR(VLOOKUP($A3,Kardex!$A$1:$L$1498,10,FALSE),"")</f>
        <v>0</v>
      </c>
      <c r="K3" s="45">
        <f>IFERROR(VLOOKUP($A3,Kardex!$A$1:$L$1498,11,FALSE),"")</f>
        <v>0</v>
      </c>
      <c r="L3" s="45">
        <f>IFERROR(VLOOKUP($A3,Kardex!$A$1:$L$1498,12,FALSE),"")</f>
        <v>1</v>
      </c>
    </row>
    <row r="4" spans="1:12" ht="12.75" customHeight="1" x14ac:dyDescent="0.2">
      <c r="A4" s="18">
        <v>3</v>
      </c>
      <c r="B4" s="19">
        <f>IF(IFERROR(VLOOKUP(A4,Kardex!$A$1:$K$1498,2,FALSE),"")=0,"",IFERROR(VLOOKUP(A4,Kardex!$A$1:$K$1498,2,FALSE),""))</f>
        <v>3780</v>
      </c>
      <c r="C4" s="19" t="str">
        <f>IFERROR(VLOOKUP(A4,Kardex!$A$1:$K$1498,3,FALSE),"")</f>
        <v>Perfil</v>
      </c>
      <c r="D4" s="20" t="str">
        <f>IFERROR(VLOOKUP(A4,Kardex!$A$1:$K$1498,4,FALSE),"")</f>
        <v>Marco autorroscante VP 3831 (38X30,9) mm</v>
      </c>
      <c r="E4" s="21" t="str">
        <f>IFERROR(VLOOKUP(A4,Kardex!$A$1:$K$1498,5,FALSE),"")</f>
        <v>Banco</v>
      </c>
      <c r="F4" s="21" t="str">
        <f>IFERROR(VLOOKUP(A4,Kardex!$A$1:$K$1498,6,FALSE),"")</f>
        <v>Blanco pintura</v>
      </c>
      <c r="G4" s="21">
        <f>IFERROR(VLOOKUP(A4,Kardex!$A$1:$K$1498,7,FALSE),"")</f>
        <v>3831</v>
      </c>
      <c r="H4" s="21" t="str">
        <f>IFERROR(VLOOKUP(A4,Kardex!$A$1:$K$1498,8,FALSE),"")</f>
        <v>un</v>
      </c>
      <c r="I4" s="45">
        <f>IFERROR(VLOOKUP($A4,Kardex!$A$1:$L$1498,9,FALSE),"")</f>
        <v>11</v>
      </c>
      <c r="J4" s="45">
        <f>IFERROR(VLOOKUP($A4,Kardex!$A$1:$L$1498,10,FALSE),"")</f>
        <v>0</v>
      </c>
      <c r="K4" s="45">
        <f>IFERROR(VLOOKUP($A4,Kardex!$A$1:$L$1498,11,FALSE),"")</f>
        <v>3</v>
      </c>
      <c r="L4" s="45">
        <f>IFERROR(VLOOKUP($A4,Kardex!$A$1:$L$1498,12,FALSE),"")</f>
        <v>8</v>
      </c>
    </row>
    <row r="5" spans="1:12" ht="12.75" customHeight="1" x14ac:dyDescent="0.2">
      <c r="A5" s="18">
        <v>4</v>
      </c>
      <c r="B5" s="19">
        <f>IF(IFERROR(VLOOKUP(A5,Kardex!$A$1:$K$1498,2,FALSE),"")=0,"",IFERROR(VLOOKUP(A5,Kardex!$A$1:$K$1498,2,FALSE),""))</f>
        <v>2409</v>
      </c>
      <c r="C5" s="19" t="str">
        <f>IFERROR(VLOOKUP(A5,Kardex!$A$1:$K$1498,3,FALSE),"")</f>
        <v>Perfil</v>
      </c>
      <c r="D5" s="20" t="str">
        <f>IFERROR(VLOOKUP(A5,Kardex!$A$1:$K$1498,4,FALSE),"")</f>
        <v>Sillar alfajia VP 3831 (103,2X37,1) mm</v>
      </c>
      <c r="E5" s="21" t="str">
        <f>IFERROR(VLOOKUP(A5,Kardex!$A$1:$K$1498,5,FALSE),"")</f>
        <v>Banco</v>
      </c>
      <c r="F5" s="21" t="str">
        <f>IFERROR(VLOOKUP(A5,Kardex!$A$1:$K$1498,6,FALSE),"")</f>
        <v>Blanco pintura</v>
      </c>
      <c r="G5" s="21">
        <f>IFERROR(VLOOKUP(A5,Kardex!$A$1:$K$1498,7,FALSE),"")</f>
        <v>3831</v>
      </c>
      <c r="H5" s="21" t="str">
        <f>IFERROR(VLOOKUP(A5,Kardex!$A$1:$K$1498,8,FALSE),"")</f>
        <v>un</v>
      </c>
      <c r="I5" s="45">
        <f>IFERROR(VLOOKUP($A5,Kardex!$A$1:$L$1498,9,FALSE),"")</f>
        <v>0</v>
      </c>
      <c r="J5" s="45">
        <f>IFERROR(VLOOKUP($A5,Kardex!$A$1:$L$1498,10,FALSE),"")</f>
        <v>0</v>
      </c>
      <c r="K5" s="45">
        <f>IFERROR(VLOOKUP($A5,Kardex!$A$1:$L$1498,11,FALSE),"")</f>
        <v>0</v>
      </c>
      <c r="L5" s="45">
        <f>IFERROR(VLOOKUP($A5,Kardex!$A$1:$L$1498,12,FALSE),"")</f>
        <v>0</v>
      </c>
    </row>
    <row r="6" spans="1:12" ht="12.75" customHeight="1" x14ac:dyDescent="0.2">
      <c r="A6" s="18">
        <v>5</v>
      </c>
      <c r="B6" s="19">
        <f>IF(IFERROR(VLOOKUP(A6,Kardex!$A$1:$K$1498,2,FALSE),"")=0,"",IFERROR(VLOOKUP(A6,Kardex!$A$1:$K$1498,2,FALSE),""))</f>
        <v>2409</v>
      </c>
      <c r="C6" s="19" t="str">
        <f>IFERROR(VLOOKUP(A6,Kardex!$A$1:$K$1498,3,FALSE),"")</f>
        <v>Perfil</v>
      </c>
      <c r="D6" s="20" t="str">
        <f>IFERROR(VLOOKUP(A6,Kardex!$A$1:$K$1498,4,FALSE),"")</f>
        <v>Sillar alfajia VP 3831 (103,2X37,1) mm</v>
      </c>
      <c r="E6" s="21" t="str">
        <f>IFERROR(VLOOKUP(A6,Kardex!$A$1:$K$1498,5,FALSE),"")</f>
        <v>Banco</v>
      </c>
      <c r="F6" s="21" t="str">
        <f>IFERROR(VLOOKUP(A6,Kardex!$A$1:$K$1498,6,FALSE),"")</f>
        <v>Blanco mate</v>
      </c>
      <c r="G6" s="21">
        <f>IFERROR(VLOOKUP(A6,Kardex!$A$1:$K$1498,7,FALSE),"")</f>
        <v>3831</v>
      </c>
      <c r="H6" s="21" t="str">
        <f>IFERROR(VLOOKUP(A6,Kardex!$A$1:$K$1498,8,FALSE),"")</f>
        <v>un</v>
      </c>
      <c r="I6" s="45">
        <f>IFERROR(VLOOKUP($A6,Kardex!$A$1:$L$1498,9,FALSE),"")</f>
        <v>0</v>
      </c>
      <c r="J6" s="45">
        <f>IFERROR(VLOOKUP($A6,Kardex!$A$1:$L$1498,10,FALSE),"")</f>
        <v>6</v>
      </c>
      <c r="K6" s="45">
        <f>IFERROR(VLOOKUP($A6,Kardex!$A$1:$L$1498,11,FALSE),"")</f>
        <v>0</v>
      </c>
      <c r="L6" s="45">
        <f>IFERROR(VLOOKUP($A6,Kardex!$A$1:$L$1498,12,FALSE),"")</f>
        <v>6</v>
      </c>
    </row>
    <row r="7" spans="1:12" ht="12.75" customHeight="1" x14ac:dyDescent="0.2">
      <c r="A7" s="18">
        <v>6</v>
      </c>
      <c r="B7" s="19">
        <f>IF(IFERROR(VLOOKUP(A7,Kardex!$A$1:$K$1498,2,FALSE),"")=0,"",IFERROR(VLOOKUP(A7,Kardex!$A$1:$K$1498,2,FALSE),""))</f>
        <v>3788</v>
      </c>
      <c r="C7" s="19" t="str">
        <f>IFERROR(VLOOKUP(A7,Kardex!$A$1:$K$1498,3,FALSE),"")</f>
        <v>Perfil</v>
      </c>
      <c r="D7" s="20" t="str">
        <f>IFERROR(VLOOKUP(A7,Kardex!$A$1:$K$1498,4,FALSE),"")</f>
        <v>Divisor VP 3831 (48X38) mm</v>
      </c>
      <c r="E7" s="21" t="str">
        <f>IFERROR(VLOOKUP(A7,Kardex!$A$1:$K$1498,5,FALSE),"")</f>
        <v>Banco</v>
      </c>
      <c r="F7" s="21" t="str">
        <f>IFERROR(VLOOKUP(A7,Kardex!$A$1:$K$1498,6,FALSE),"")</f>
        <v>Blanco pintura</v>
      </c>
      <c r="G7" s="21">
        <f>IFERROR(VLOOKUP(A7,Kardex!$A$1:$K$1498,7,FALSE),"")</f>
        <v>3831</v>
      </c>
      <c r="H7" s="21" t="str">
        <f>IFERROR(VLOOKUP(A7,Kardex!$A$1:$K$1498,8,FALSE),"")</f>
        <v>un</v>
      </c>
      <c r="I7" s="45">
        <f>IFERROR(VLOOKUP($A7,Kardex!$A$1:$L$1498,9,FALSE),"")</f>
        <v>0</v>
      </c>
      <c r="J7" s="45">
        <f>IFERROR(VLOOKUP($A7,Kardex!$A$1:$L$1498,10,FALSE),"")</f>
        <v>14</v>
      </c>
      <c r="K7" s="45">
        <f>IFERROR(VLOOKUP($A7,Kardex!$A$1:$L$1498,11,FALSE),"")</f>
        <v>5</v>
      </c>
      <c r="L7" s="45">
        <f>IFERROR(VLOOKUP($A7,Kardex!$A$1:$L$1498,12,FALSE),"")</f>
        <v>9</v>
      </c>
    </row>
    <row r="8" spans="1:12" ht="12.75" customHeight="1" x14ac:dyDescent="0.2">
      <c r="A8" s="18">
        <v>7</v>
      </c>
      <c r="B8" s="19">
        <f>IF(IFERROR(VLOOKUP(A8,Kardex!$A$1:$K$1498,2,FALSE),"")=0,"",IFERROR(VLOOKUP(A8,Kardex!$A$1:$K$1498,2,FALSE),""))</f>
        <v>3789</v>
      </c>
      <c r="C8" s="19" t="str">
        <f>IFERROR(VLOOKUP(A8,Kardex!$A$1:$K$1498,3,FALSE),"")</f>
        <v>Perfil</v>
      </c>
      <c r="D8" s="20" t="str">
        <f>IFERROR(VLOOKUP(A8,Kardex!$A$1:$K$1498,4,FALSE),"")</f>
        <v>Marco nave VP 3831 (46X38) mm</v>
      </c>
      <c r="E8" s="21" t="str">
        <f>IFERROR(VLOOKUP(A8,Kardex!$A$1:$K$1498,5,FALSE),"")</f>
        <v>Banco</v>
      </c>
      <c r="F8" s="21" t="str">
        <f>IFERROR(VLOOKUP(A8,Kardex!$A$1:$K$1498,6,FALSE),"")</f>
        <v>Blanco pintura</v>
      </c>
      <c r="G8" s="21">
        <f>IFERROR(VLOOKUP(A8,Kardex!$A$1:$K$1498,7,FALSE),"")</f>
        <v>3831</v>
      </c>
      <c r="H8" s="21" t="str">
        <f>IFERROR(VLOOKUP(A8,Kardex!$A$1:$K$1498,8,FALSE),"")</f>
        <v>un</v>
      </c>
      <c r="I8" s="45">
        <f>IFERROR(VLOOKUP($A8,Kardex!$A$1:$L$1498,9,FALSE),"")</f>
        <v>28</v>
      </c>
      <c r="J8" s="45">
        <f>IFERROR(VLOOKUP($A8,Kardex!$A$1:$L$1498,10,FALSE),"")</f>
        <v>0</v>
      </c>
      <c r="K8" s="45">
        <f>IFERROR(VLOOKUP($A8,Kardex!$A$1:$L$1498,11,FALSE),"")</f>
        <v>3</v>
      </c>
      <c r="L8" s="45">
        <f>IFERROR(VLOOKUP($A8,Kardex!$A$1:$L$1498,12,FALSE),"")</f>
        <v>25</v>
      </c>
    </row>
    <row r="9" spans="1:12" ht="12.75" customHeight="1" x14ac:dyDescent="0.2">
      <c r="A9" s="18">
        <v>8</v>
      </c>
      <c r="B9" s="19">
        <f>IF(IFERROR(VLOOKUP(A9,Kardex!$A$1:$K$1498,2,FALSE),"")=0,"",IFERROR(VLOOKUP(A9,Kardex!$A$1:$K$1498,2,FALSE),""))</f>
        <v>2810</v>
      </c>
      <c r="C9" s="19" t="str">
        <f>IFERROR(VLOOKUP(A9,Kardex!$A$1:$K$1498,3,FALSE),"")</f>
        <v>Perfil</v>
      </c>
      <c r="D9" s="20" t="str">
        <f>IFERROR(VLOOKUP(A9,Kardex!$A$1:$K$1498,4,FALSE),"")</f>
        <v>Adaptador VP 3831 (37,8X23,3) mm</v>
      </c>
      <c r="E9" s="21" t="str">
        <f>IFERROR(VLOOKUP(A9,Kardex!$A$1:$K$1498,5,FALSE),"")</f>
        <v>Banco</v>
      </c>
      <c r="F9" s="21" t="str">
        <f>IFERROR(VLOOKUP(A9,Kardex!$A$1:$K$1498,6,FALSE),"")</f>
        <v>Blanco pintura</v>
      </c>
      <c r="G9" s="21">
        <f>IFERROR(VLOOKUP(A9,Kardex!$A$1:$K$1498,7,FALSE),"")</f>
        <v>3831</v>
      </c>
      <c r="H9" s="21" t="str">
        <f>IFERROR(VLOOKUP(A9,Kardex!$A$1:$K$1498,8,FALSE),"")</f>
        <v>un</v>
      </c>
      <c r="I9" s="45">
        <f>IFERROR(VLOOKUP($A9,Kardex!$A$1:$L$1498,9,FALSE),"")</f>
        <v>41</v>
      </c>
      <c r="J9" s="45">
        <f>IFERROR(VLOOKUP($A9,Kardex!$A$1:$L$1498,10,FALSE),"")</f>
        <v>1</v>
      </c>
      <c r="K9" s="45">
        <f>IFERROR(VLOOKUP($A9,Kardex!$A$1:$L$1498,11,FALSE),"")</f>
        <v>0</v>
      </c>
      <c r="L9" s="45">
        <f>IFERROR(VLOOKUP($A9,Kardex!$A$1:$L$1498,12,FALSE),"")</f>
        <v>42</v>
      </c>
    </row>
    <row r="10" spans="1:12" ht="12.75" customHeight="1" x14ac:dyDescent="0.2">
      <c r="A10" s="18">
        <v>9</v>
      </c>
      <c r="B10" s="19">
        <f>IF(IFERROR(VLOOKUP(A10,Kardex!$A$1:$K$1498,2,FALSE),"")=0,"",IFERROR(VLOOKUP(A10,Kardex!$A$1:$K$1498,2,FALSE),""))</f>
        <v>3774</v>
      </c>
      <c r="C10" s="19" t="str">
        <f>IFERROR(VLOOKUP(A10,Kardex!$A$1:$K$1498,3,FALSE),"")</f>
        <v>Perfil</v>
      </c>
      <c r="D10" s="20" t="str">
        <f>IFERROR(VLOOKUP(A10,Kardex!$A$1:$K$1498,4,FALSE),"")</f>
        <v>Pisavidrio plano VP 3831 (29,2X18) mm</v>
      </c>
      <c r="E10" s="21" t="str">
        <f>IFERROR(VLOOKUP(A10,Kardex!$A$1:$K$1498,5,FALSE),"")</f>
        <v>Banco</v>
      </c>
      <c r="F10" s="21" t="str">
        <f>IFERROR(VLOOKUP(A10,Kardex!$A$1:$K$1498,6,FALSE),"")</f>
        <v>Blanco pintura</v>
      </c>
      <c r="G10" s="21">
        <f>IFERROR(VLOOKUP(A10,Kardex!$A$1:$K$1498,7,FALSE),"")</f>
        <v>3831</v>
      </c>
      <c r="H10" s="21" t="str">
        <f>IFERROR(VLOOKUP(A10,Kardex!$A$1:$K$1498,8,FALSE),"")</f>
        <v>un</v>
      </c>
      <c r="I10" s="45">
        <f>IFERROR(VLOOKUP($A10,Kardex!$A$1:$L$1498,9,FALSE),"")</f>
        <v>0</v>
      </c>
      <c r="J10" s="45">
        <f>IFERROR(VLOOKUP($A10,Kardex!$A$1:$L$1498,10,FALSE),"")</f>
        <v>0</v>
      </c>
      <c r="K10" s="45">
        <f>IFERROR(VLOOKUP($A10,Kardex!$A$1:$L$1498,11,FALSE),"")</f>
        <v>0</v>
      </c>
      <c r="L10" s="45">
        <f>IFERROR(VLOOKUP($A10,Kardex!$A$1:$L$1498,12,FALSE),"")</f>
        <v>0</v>
      </c>
    </row>
    <row r="11" spans="1:12" ht="12.75" customHeight="1" x14ac:dyDescent="0.2">
      <c r="A11" s="18">
        <v>10</v>
      </c>
      <c r="B11" s="19">
        <f>IF(IFERROR(VLOOKUP(A11,Kardex!$A$1:$K$1498,2,FALSE),"")=0,"",IFERROR(VLOOKUP(A11,Kardex!$A$1:$K$1498,2,FALSE),""))</f>
        <v>3785</v>
      </c>
      <c r="C11" s="19" t="str">
        <f>IFERROR(VLOOKUP(A11,Kardex!$A$1:$K$1498,3,FALSE),"")</f>
        <v>Perfil</v>
      </c>
      <c r="D11" s="20" t="str">
        <f>IFERROR(VLOOKUP(A11,Kardex!$A$1:$K$1498,4,FALSE),"")</f>
        <v>Pisavidrio curvo VP 3831 (29,1X18) mm</v>
      </c>
      <c r="E11" s="21" t="str">
        <f>IFERROR(VLOOKUP(A11,Kardex!$A$1:$K$1498,5,FALSE),"")</f>
        <v>Banco</v>
      </c>
      <c r="F11" s="21" t="str">
        <f>IFERROR(VLOOKUP(A11,Kardex!$A$1:$K$1498,6,FALSE),"")</f>
        <v>Blanco pintura</v>
      </c>
      <c r="G11" s="21">
        <f>IFERROR(VLOOKUP(A11,Kardex!$A$1:$K$1498,7,FALSE),"")</f>
        <v>3831</v>
      </c>
      <c r="H11" s="21" t="str">
        <f>IFERROR(VLOOKUP(A11,Kardex!$A$1:$K$1498,8,FALSE),"")</f>
        <v>un</v>
      </c>
      <c r="I11" s="45">
        <f>IFERROR(VLOOKUP($A11,Kardex!$A$1:$L$1498,9,FALSE),"")</f>
        <v>0</v>
      </c>
      <c r="J11" s="45">
        <f>IFERROR(VLOOKUP($A11,Kardex!$A$1:$L$1498,10,FALSE),"")</f>
        <v>30</v>
      </c>
      <c r="K11" s="45">
        <f>IFERROR(VLOOKUP($A11,Kardex!$A$1:$L$1498,11,FALSE),"")</f>
        <v>16</v>
      </c>
      <c r="L11" s="45">
        <f>IFERROR(VLOOKUP($A11,Kardex!$A$1:$L$1498,12,FALSE),"")</f>
        <v>14</v>
      </c>
    </row>
    <row r="12" spans="1:12" ht="12.75" customHeight="1" x14ac:dyDescent="0.2">
      <c r="A12" s="18">
        <v>11</v>
      </c>
      <c r="B12" s="19">
        <f>IF(IFERROR(VLOOKUP(A12,Kardex!$A$1:$K$1498,2,FALSE),"")=0,"",IFERROR(VLOOKUP(A12,Kardex!$A$1:$K$1498,2,FALSE),""))</f>
        <v>2999</v>
      </c>
      <c r="C12" s="19" t="str">
        <f>IFERROR(VLOOKUP(A12,Kardex!$A$1:$K$1498,3,FALSE),"")</f>
        <v>Perfil</v>
      </c>
      <c r="D12" s="20" t="str">
        <f>IFERROR(VLOOKUP(A12,Kardex!$A$1:$K$1498,4,FALSE),"")</f>
        <v>Pisavidrio plano 10 mm VP 3831 (29,2X18,3) mm</v>
      </c>
      <c r="E12" s="21" t="str">
        <f>IFERROR(VLOOKUP(A12,Kardex!$A$1:$K$1498,5,FALSE),"")</f>
        <v>Banco</v>
      </c>
      <c r="F12" s="21" t="str">
        <f>IFERROR(VLOOKUP(A12,Kardex!$A$1:$K$1498,6,FALSE),"")</f>
        <v>Blanco pintura</v>
      </c>
      <c r="G12" s="21">
        <f>IFERROR(VLOOKUP(A12,Kardex!$A$1:$K$1498,7,FALSE),"")</f>
        <v>3831</v>
      </c>
      <c r="H12" s="21" t="str">
        <f>IFERROR(VLOOKUP(A12,Kardex!$A$1:$K$1498,8,FALSE),"")</f>
        <v>un</v>
      </c>
      <c r="I12" s="45">
        <f>IFERROR(VLOOKUP($A12,Kardex!$A$1:$L$1498,9,FALSE),"")</f>
        <v>0</v>
      </c>
      <c r="J12" s="45">
        <f>IFERROR(VLOOKUP($A12,Kardex!$A$1:$L$1498,10,FALSE),"")</f>
        <v>0</v>
      </c>
      <c r="K12" s="45">
        <f>IFERROR(VLOOKUP($A12,Kardex!$A$1:$L$1498,11,FALSE),"")</f>
        <v>0</v>
      </c>
      <c r="L12" s="45">
        <f>IFERROR(VLOOKUP($A12,Kardex!$A$1:$L$1498,12,FALSE),"")</f>
        <v>0</v>
      </c>
    </row>
    <row r="13" spans="1:12" ht="12.75" customHeight="1" x14ac:dyDescent="0.2">
      <c r="A13" s="18">
        <v>12</v>
      </c>
      <c r="B13" s="19">
        <f>IF(IFERROR(VLOOKUP(A13,Kardex!$A$1:$K$1498,2,FALSE),"")=0,"",IFERROR(VLOOKUP(A13,Kardex!$A$1:$K$1498,2,FALSE),""))</f>
        <v>3698</v>
      </c>
      <c r="C13" s="19" t="str">
        <f>IFERROR(VLOOKUP(A13,Kardex!$A$1:$K$1498,3,FALSE),"")</f>
        <v>Perfil</v>
      </c>
      <c r="D13" s="20" t="str">
        <f>IFERROR(VLOOKUP(A13,Kardex!$A$1:$K$1498,4,FALSE),"")</f>
        <v>Pisavidrio 30 mm VP (29X17,5) mm</v>
      </c>
      <c r="E13" s="21" t="str">
        <f>IFERROR(VLOOKUP(A13,Kardex!$A$1:$K$1498,5,FALSE),"")</f>
        <v>Banco</v>
      </c>
      <c r="F13" s="21" t="str">
        <f>IFERROR(VLOOKUP(A13,Kardex!$A$1:$K$1498,6,FALSE),"")</f>
        <v>Blanco pintura</v>
      </c>
      <c r="G13" s="21">
        <f>IFERROR(VLOOKUP(A13,Kardex!$A$1:$K$1498,7,FALSE),"")</f>
        <v>3831</v>
      </c>
      <c r="H13" s="21" t="str">
        <f>IFERROR(VLOOKUP(A13,Kardex!$A$1:$K$1498,8,FALSE),"")</f>
        <v>un</v>
      </c>
      <c r="I13" s="45">
        <f>IFERROR(VLOOKUP($A13,Kardex!$A$1:$L$1498,9,FALSE),"")</f>
        <v>0</v>
      </c>
      <c r="J13" s="45">
        <f>IFERROR(VLOOKUP($A13,Kardex!$A$1:$L$1498,10,FALSE),"")</f>
        <v>0</v>
      </c>
      <c r="K13" s="45">
        <f>IFERROR(VLOOKUP($A13,Kardex!$A$1:$L$1498,11,FALSE),"")</f>
        <v>0</v>
      </c>
      <c r="L13" s="45">
        <f>IFERROR(VLOOKUP($A13,Kardex!$A$1:$L$1498,12,FALSE),"")</f>
        <v>0</v>
      </c>
    </row>
    <row r="14" spans="1:12" ht="12.75" customHeight="1" x14ac:dyDescent="0.2">
      <c r="A14" s="18">
        <v>13</v>
      </c>
      <c r="B14" s="19">
        <f>IF(IFERROR(VLOOKUP(A14,Kardex!$A$1:$K$1498,2,FALSE),"")=0,"",IFERROR(VLOOKUP(A14,Kardex!$A$1:$K$1498,2,FALSE),""))</f>
        <v>3790</v>
      </c>
      <c r="C14" s="19" t="str">
        <f>IFERROR(VLOOKUP(A14,Kardex!$A$1:$K$1498,3,FALSE),"")</f>
        <v>Perfil</v>
      </c>
      <c r="D14" s="20" t="str">
        <f>IFERROR(VLOOKUP(A14,Kardex!$A$1:$K$1498,4,FALSE),"")</f>
        <v>Esquinero VP 3831 (38X18) mm</v>
      </c>
      <c r="E14" s="21" t="str">
        <f>IFERROR(VLOOKUP(A14,Kardex!$A$1:$K$1498,5,FALSE),"")</f>
        <v>Banco</v>
      </c>
      <c r="F14" s="21" t="str">
        <f>IFERROR(VLOOKUP(A14,Kardex!$A$1:$K$1498,6,FALSE),"")</f>
        <v>Blanco pintura</v>
      </c>
      <c r="G14" s="21">
        <f>IFERROR(VLOOKUP(A14,Kardex!$A$1:$K$1498,7,FALSE),"")</f>
        <v>3831</v>
      </c>
      <c r="H14" s="21" t="str">
        <f>IFERROR(VLOOKUP(A14,Kardex!$A$1:$K$1498,8,FALSE),"")</f>
        <v>un</v>
      </c>
      <c r="I14" s="45">
        <f>IFERROR(VLOOKUP($A14,Kardex!$A$1:$L$1498,9,FALSE),"")</f>
        <v>0</v>
      </c>
      <c r="J14" s="45">
        <f>IFERROR(VLOOKUP($A14,Kardex!$A$1:$L$1498,10,FALSE),"")</f>
        <v>0</v>
      </c>
      <c r="K14" s="45">
        <f>IFERROR(VLOOKUP($A14,Kardex!$A$1:$L$1498,11,FALSE),"")</f>
        <v>0</v>
      </c>
      <c r="L14" s="45">
        <f>IFERROR(VLOOKUP($A14,Kardex!$A$1:$L$1498,12,FALSE),"")</f>
        <v>0</v>
      </c>
    </row>
    <row r="15" spans="1:12" ht="12.75" customHeight="1" x14ac:dyDescent="0.2">
      <c r="A15" s="18">
        <v>14</v>
      </c>
      <c r="B15" s="19">
        <f>IF(IFERROR(VLOOKUP(A15,Kardex!$A$1:$K$1498,2,FALSE),"")=0,"",IFERROR(VLOOKUP(A15,Kardex!$A$1:$K$1498,2,FALSE),""))</f>
        <v>3784</v>
      </c>
      <c r="C15" s="19" t="str">
        <f>IFERROR(VLOOKUP(A15,Kardex!$A$1:$K$1498,3,FALSE),"")</f>
        <v>Perfil</v>
      </c>
      <c r="D15" s="20" t="str">
        <f>IFERROR(VLOOKUP(A15,Kardex!$A$1:$K$1498,4,FALSE),"")</f>
        <v>Tubular con adaptador VP 3831 (1 1/2X1 1/2)" (55,8X38) mm</v>
      </c>
      <c r="E15" s="21" t="str">
        <f>IFERROR(VLOOKUP(A15,Kardex!$A$1:$K$1498,5,FALSE),"")</f>
        <v>Banco</v>
      </c>
      <c r="F15" s="21" t="str">
        <f>IFERROR(VLOOKUP(A15,Kardex!$A$1:$K$1498,6,FALSE),"")</f>
        <v>Blanco pintura</v>
      </c>
      <c r="G15" s="21">
        <f>IFERROR(VLOOKUP(A15,Kardex!$A$1:$K$1498,7,FALSE),"")</f>
        <v>3831</v>
      </c>
      <c r="H15" s="21" t="str">
        <f>IFERROR(VLOOKUP(A15,Kardex!$A$1:$K$1498,8,FALSE),"")</f>
        <v>un</v>
      </c>
      <c r="I15" s="45">
        <f>IFERROR(VLOOKUP($A15,Kardex!$A$1:$L$1498,9,FALSE),"")</f>
        <v>0</v>
      </c>
      <c r="J15" s="45">
        <f>IFERROR(VLOOKUP($A15,Kardex!$A$1:$L$1498,10,FALSE),"")</f>
        <v>10</v>
      </c>
      <c r="K15" s="45">
        <f>IFERROR(VLOOKUP($A15,Kardex!$A$1:$L$1498,11,FALSE),"")</f>
        <v>0</v>
      </c>
      <c r="L15" s="45">
        <f>IFERROR(VLOOKUP($A15,Kardex!$A$1:$L$1498,12,FALSE),"")</f>
        <v>10</v>
      </c>
    </row>
    <row r="16" spans="1:12" ht="12.75" customHeight="1" x14ac:dyDescent="0.2">
      <c r="A16" s="18">
        <v>15</v>
      </c>
      <c r="B16" s="19">
        <f>IF(IFERROR(VLOOKUP(A16,Kardex!$A$1:$K$1498,2,FALSE),"")=0,"",IFERROR(VLOOKUP(A16,Kardex!$A$1:$K$1498,2,FALSE),""))</f>
        <v>4131</v>
      </c>
      <c r="C16" s="19" t="str">
        <f>IFERROR(VLOOKUP(A16,Kardex!$A$1:$K$1498,3,FALSE),"")</f>
        <v>Perfil</v>
      </c>
      <c r="D16" s="20" t="str">
        <f>IFERROR(VLOOKUP(A16,Kardex!$A$1:$K$1498,4,FALSE),"")</f>
        <v>Tubular con adaptador VP 3831 (2X1 1/2)" (73,9X38) mm</v>
      </c>
      <c r="E16" s="21" t="str">
        <f>IFERROR(VLOOKUP(A16,Kardex!$A$1:$K$1498,5,FALSE),"")</f>
        <v>Banco</v>
      </c>
      <c r="F16" s="21" t="str">
        <f>IFERROR(VLOOKUP(A16,Kardex!$A$1:$K$1498,6,FALSE),"")</f>
        <v>Blanco pintura</v>
      </c>
      <c r="G16" s="21">
        <f>IFERROR(VLOOKUP(A16,Kardex!$A$1:$K$1498,7,FALSE),"")</f>
        <v>3831</v>
      </c>
      <c r="H16" s="21" t="str">
        <f>IFERROR(VLOOKUP(A16,Kardex!$A$1:$K$1498,8,FALSE),"")</f>
        <v>un</v>
      </c>
      <c r="I16" s="45">
        <f>IFERROR(VLOOKUP($A16,Kardex!$A$1:$L$1498,9,FALSE),"")</f>
        <v>0</v>
      </c>
      <c r="J16" s="45">
        <f>IFERROR(VLOOKUP($A16,Kardex!$A$1:$L$1498,10,FALSE),"")</f>
        <v>0</v>
      </c>
      <c r="K16" s="45">
        <f>IFERROR(VLOOKUP($A16,Kardex!$A$1:$L$1498,11,FALSE),"")</f>
        <v>0</v>
      </c>
      <c r="L16" s="45">
        <f>IFERROR(VLOOKUP($A16,Kardex!$A$1:$L$1498,12,FALSE),"")</f>
        <v>0</v>
      </c>
    </row>
    <row r="17" spans="1:12" ht="12.75" customHeight="1" x14ac:dyDescent="0.2">
      <c r="A17" s="18">
        <v>16</v>
      </c>
      <c r="B17" s="19">
        <f>IF(IFERROR(VLOOKUP(A17,Kardex!$A$1:$K$1498,2,FALSE),"")=0,"",IFERROR(VLOOKUP(A17,Kardex!$A$1:$K$1498,2,FALSE),""))</f>
        <v>3783</v>
      </c>
      <c r="C17" s="19" t="str">
        <f>IFERROR(VLOOKUP(A17,Kardex!$A$1:$K$1498,3,FALSE),"")</f>
        <v>Perfil</v>
      </c>
      <c r="D17" s="20" t="str">
        <f>IFERROR(VLOOKUP(A17,Kardex!$A$1:$K$1498,4,FALSE),"")</f>
        <v>Tubular con adaptador VP 3831 (3X1 1/2)" (104,3X38) mm</v>
      </c>
      <c r="E17" s="21" t="str">
        <f>IFERROR(VLOOKUP(A17,Kardex!$A$1:$K$1498,5,FALSE),"")</f>
        <v>Banco</v>
      </c>
      <c r="F17" s="21" t="str">
        <f>IFERROR(VLOOKUP(A17,Kardex!$A$1:$K$1498,6,FALSE),"")</f>
        <v>Blanco pintura</v>
      </c>
      <c r="G17" s="21">
        <f>IFERROR(VLOOKUP(A17,Kardex!$A$1:$K$1498,7,FALSE),"")</f>
        <v>3831</v>
      </c>
      <c r="H17" s="21" t="str">
        <f>IFERROR(VLOOKUP(A17,Kardex!$A$1:$K$1498,8,FALSE),"")</f>
        <v>un</v>
      </c>
      <c r="I17" s="45">
        <f>IFERROR(VLOOKUP($A17,Kardex!$A$1:$L$1498,9,FALSE),"")</f>
        <v>1</v>
      </c>
      <c r="J17" s="45">
        <f>IFERROR(VLOOKUP($A17,Kardex!$A$1:$L$1498,10,FALSE),"")</f>
        <v>8</v>
      </c>
      <c r="K17" s="45">
        <f>IFERROR(VLOOKUP($A17,Kardex!$A$1:$L$1498,11,FALSE),"")</f>
        <v>2</v>
      </c>
      <c r="L17" s="45">
        <f>IFERROR(VLOOKUP($A17,Kardex!$A$1:$L$1498,12,FALSE),"")</f>
        <v>7</v>
      </c>
    </row>
    <row r="18" spans="1:12" ht="12.75" customHeight="1" x14ac:dyDescent="0.2">
      <c r="A18" s="18">
        <v>17</v>
      </c>
      <c r="B18" s="19">
        <f>IF(IFERROR(VLOOKUP(A18,Kardex!$A$1:$K$1498,2,FALSE),"")=0,"",IFERROR(VLOOKUP(A18,Kardex!$A$1:$K$1498,2,FALSE),""))</f>
        <v>3897</v>
      </c>
      <c r="C18" s="19" t="str">
        <f>IFERROR(VLOOKUP(A18,Kardex!$A$1:$K$1498,3,FALSE),"")</f>
        <v>Perfil</v>
      </c>
      <c r="D18" s="20" t="str">
        <f>IFERROR(VLOOKUP(A18,Kardex!$A$1:$K$1498,4,FALSE),"")</f>
        <v>Tubular con doble adaptador VP 3831 (1 1/2X1 1/2)" (73,4X38) mm</v>
      </c>
      <c r="E18" s="21" t="str">
        <f>IFERROR(VLOOKUP(A18,Kardex!$A$1:$K$1498,5,FALSE),"")</f>
        <v>Banco</v>
      </c>
      <c r="F18" s="21" t="str">
        <f>IFERROR(VLOOKUP(A18,Kardex!$A$1:$K$1498,6,FALSE),"")</f>
        <v>Blanco pintura</v>
      </c>
      <c r="G18" s="21">
        <f>IFERROR(VLOOKUP(A18,Kardex!$A$1:$K$1498,7,FALSE),"")</f>
        <v>3831</v>
      </c>
      <c r="H18" s="21" t="str">
        <f>IFERROR(VLOOKUP(A18,Kardex!$A$1:$K$1498,8,FALSE),"")</f>
        <v>un</v>
      </c>
      <c r="I18" s="45">
        <f>IFERROR(VLOOKUP($A18,Kardex!$A$1:$L$1498,9,FALSE),"")</f>
        <v>0</v>
      </c>
      <c r="J18" s="45">
        <f>IFERROR(VLOOKUP($A18,Kardex!$A$1:$L$1498,10,FALSE),"")</f>
        <v>2</v>
      </c>
      <c r="K18" s="45">
        <f>IFERROR(VLOOKUP($A18,Kardex!$A$1:$L$1498,11,FALSE),"")</f>
        <v>0</v>
      </c>
      <c r="L18" s="45">
        <f>IFERROR(VLOOKUP($A18,Kardex!$A$1:$L$1498,12,FALSE),"")</f>
        <v>2</v>
      </c>
    </row>
    <row r="19" spans="1:12" ht="12.75" customHeight="1" x14ac:dyDescent="0.2">
      <c r="A19" s="18">
        <v>18</v>
      </c>
      <c r="B19" s="19">
        <f>IF(IFERROR(VLOOKUP(A19,Kardex!$A$1:$K$1498,2,FALSE),"")=0,"",IFERROR(VLOOKUP(A19,Kardex!$A$1:$K$1498,2,FALSE),""))</f>
        <v>4130</v>
      </c>
      <c r="C19" s="19" t="str">
        <f>IFERROR(VLOOKUP(A19,Kardex!$A$1:$K$1498,3,FALSE),"")</f>
        <v>Perfil</v>
      </c>
      <c r="D19" s="20" t="str">
        <f>IFERROR(VLOOKUP(A19,Kardex!$A$1:$K$1498,4,FALSE),"")</f>
        <v>Tubular con doble adaptador VP 3831 (3X1 1/2)" (126,2X38) mm</v>
      </c>
      <c r="E19" s="21" t="str">
        <f>IFERROR(VLOOKUP(A19,Kardex!$A$1:$K$1498,5,FALSE),"")</f>
        <v>Banco</v>
      </c>
      <c r="F19" s="21" t="str">
        <f>IFERROR(VLOOKUP(A19,Kardex!$A$1:$K$1498,6,FALSE),"")</f>
        <v>Blanco pintura</v>
      </c>
      <c r="G19" s="21">
        <f>IFERROR(VLOOKUP(A19,Kardex!$A$1:$K$1498,7,FALSE),"")</f>
        <v>3831</v>
      </c>
      <c r="H19" s="21" t="str">
        <f>IFERROR(VLOOKUP(A19,Kardex!$A$1:$K$1498,8,FALSE),"")</f>
        <v>un</v>
      </c>
      <c r="I19" s="45">
        <f>IFERROR(VLOOKUP($A19,Kardex!$A$1:$L$1498,9,FALSE),"")</f>
        <v>0</v>
      </c>
      <c r="J19" s="45">
        <f>IFERROR(VLOOKUP($A19,Kardex!$A$1:$L$1498,10,FALSE),"")</f>
        <v>0</v>
      </c>
      <c r="K19" s="45">
        <f>IFERROR(VLOOKUP($A19,Kardex!$A$1:$L$1498,11,FALSE),"")</f>
        <v>0</v>
      </c>
      <c r="L19" s="45">
        <f>IFERROR(VLOOKUP($A19,Kardex!$A$1:$L$1498,12,FALSE),"")</f>
        <v>0</v>
      </c>
    </row>
    <row r="20" spans="1:12" ht="12.75" customHeight="1" x14ac:dyDescent="0.2">
      <c r="A20" s="18">
        <v>19</v>
      </c>
      <c r="B20" s="19">
        <f>IF(IFERROR(VLOOKUP(A20,Kardex!$A$1:$K$1498,2,FALSE),"")=0,"",IFERROR(VLOOKUP(A20,Kardex!$A$1:$K$1498,2,FALSE),""))</f>
        <v>3862</v>
      </c>
      <c r="C20" s="19" t="str">
        <f>IFERROR(VLOOKUP(A20,Kardex!$A$1:$K$1498,3,FALSE),"")</f>
        <v>Perfil</v>
      </c>
      <c r="D20" s="20" t="str">
        <f>IFERROR(VLOOKUP(A20,Kardex!$A$1:$K$1498,4,FALSE),"")</f>
        <v>Cabezal P.C. 2044/744 (62,60X18,00) mm</v>
      </c>
      <c r="E20" s="21" t="str">
        <f>IFERROR(VLOOKUP(A20,Kardex!$A$1:$K$1498,5,FALSE),"")</f>
        <v>Banco</v>
      </c>
      <c r="F20" s="21" t="str">
        <f>IFERROR(VLOOKUP(A20,Kardex!$A$1:$K$1498,6,FALSE),"")</f>
        <v>Blanco pintura</v>
      </c>
      <c r="G20" s="21">
        <f>IFERROR(VLOOKUP(A20,Kardex!$A$1:$K$1498,7,FALSE),"")</f>
        <v>744</v>
      </c>
      <c r="H20" s="21" t="str">
        <f>IFERROR(VLOOKUP(A20,Kardex!$A$1:$K$1498,8,FALSE),"")</f>
        <v>un</v>
      </c>
      <c r="I20" s="45">
        <f>IFERROR(VLOOKUP($A20,Kardex!$A$1:$L$1498,9,FALSE),"")</f>
        <v>8</v>
      </c>
      <c r="J20" s="45">
        <f>IFERROR(VLOOKUP($A20,Kardex!$A$1:$L$1498,10,FALSE),"")</f>
        <v>5</v>
      </c>
      <c r="K20" s="45">
        <f>IFERROR(VLOOKUP($A20,Kardex!$A$1:$L$1498,11,FALSE),"")</f>
        <v>1</v>
      </c>
      <c r="L20" s="45">
        <f>IFERROR(VLOOKUP($A20,Kardex!$A$1:$L$1498,12,FALSE),"")</f>
        <v>12</v>
      </c>
    </row>
    <row r="21" spans="1:12" ht="12.75" customHeight="1" x14ac:dyDescent="0.2">
      <c r="A21" s="18">
        <v>20</v>
      </c>
      <c r="B21" s="19">
        <f>IF(IFERROR(VLOOKUP(A21,Kardex!$A$1:$K$1498,2,FALSE),"")=0,"",IFERROR(VLOOKUP(A21,Kardex!$A$1:$K$1498,2,FALSE),""))</f>
        <v>3862</v>
      </c>
      <c r="C21" s="19" t="str">
        <f>IFERROR(VLOOKUP(A21,Kardex!$A$1:$K$1498,3,FALSE),"")</f>
        <v>Perfil</v>
      </c>
      <c r="D21" s="20" t="str">
        <f>IFERROR(VLOOKUP(A21,Kardex!$A$1:$K$1498,4,FALSE),"")</f>
        <v>Cabezal P.C. 2044/744 (62,60X18,00) mm</v>
      </c>
      <c r="E21" s="21" t="str">
        <f>IFERROR(VLOOKUP(A21,Kardex!$A$1:$K$1498,5,FALSE),"")</f>
        <v>Banco</v>
      </c>
      <c r="F21" s="21" t="str">
        <f>IFERROR(VLOOKUP(A21,Kardex!$A$1:$K$1498,6,FALSE),"")</f>
        <v>Blanco mate</v>
      </c>
      <c r="G21" s="21">
        <f>IFERROR(VLOOKUP(A21,Kardex!$A$1:$K$1498,7,FALSE),"")</f>
        <v>744</v>
      </c>
      <c r="H21" s="21" t="str">
        <f>IFERROR(VLOOKUP(A21,Kardex!$A$1:$K$1498,8,FALSE),"")</f>
        <v>un</v>
      </c>
      <c r="I21" s="45">
        <f>IFERROR(VLOOKUP($A21,Kardex!$A$1:$L$1498,9,FALSE),"")</f>
        <v>1</v>
      </c>
      <c r="J21" s="45">
        <f>IFERROR(VLOOKUP($A21,Kardex!$A$1:$L$1498,10,FALSE),"")</f>
        <v>0</v>
      </c>
      <c r="K21" s="45">
        <f>IFERROR(VLOOKUP($A21,Kardex!$A$1:$L$1498,11,FALSE),"")</f>
        <v>0</v>
      </c>
      <c r="L21" s="45">
        <f>IFERROR(VLOOKUP($A21,Kardex!$A$1:$L$1498,12,FALSE),"")</f>
        <v>1</v>
      </c>
    </row>
    <row r="22" spans="1:12" ht="12.75" customHeight="1" x14ac:dyDescent="0.2">
      <c r="A22" s="18">
        <v>21</v>
      </c>
      <c r="B22" s="19">
        <f>IF(IFERROR(VLOOKUP(A22,Kardex!$A$1:$K$1498,2,FALSE),"")=0,"",IFERROR(VLOOKUP(A22,Kardex!$A$1:$K$1498,2,FALSE),""))</f>
        <v>3861</v>
      </c>
      <c r="C22" s="19" t="str">
        <f>IFERROR(VLOOKUP(A22,Kardex!$A$1:$K$1498,3,FALSE),"")</f>
        <v>Perfil</v>
      </c>
      <c r="D22" s="20" t="str">
        <f>IFERROR(VLOOKUP(A22,Kardex!$A$1:$K$1498,4,FALSE),"")</f>
        <v>Sillar P.C. 2044/744 (64,25X16,95) mm</v>
      </c>
      <c r="E22" s="21" t="str">
        <f>IFERROR(VLOOKUP(A22,Kardex!$A$1:$K$1498,5,FALSE),"")</f>
        <v>Banco</v>
      </c>
      <c r="F22" s="21" t="str">
        <f>IFERROR(VLOOKUP(A22,Kardex!$A$1:$K$1498,6,FALSE),"")</f>
        <v>Blanco pintura</v>
      </c>
      <c r="G22" s="21">
        <f>IFERROR(VLOOKUP(A22,Kardex!$A$1:$K$1498,7,FALSE),"")</f>
        <v>744</v>
      </c>
      <c r="H22" s="21" t="str">
        <f>IFERROR(VLOOKUP(A22,Kardex!$A$1:$K$1498,8,FALSE),"")</f>
        <v>un</v>
      </c>
      <c r="I22" s="45">
        <f>IFERROR(VLOOKUP($A22,Kardex!$A$1:$L$1498,9,FALSE),"")</f>
        <v>8</v>
      </c>
      <c r="J22" s="45">
        <f>IFERROR(VLOOKUP($A22,Kardex!$A$1:$L$1498,10,FALSE),"")</f>
        <v>4</v>
      </c>
      <c r="K22" s="45">
        <f>IFERROR(VLOOKUP($A22,Kardex!$A$1:$L$1498,11,FALSE),"")</f>
        <v>1</v>
      </c>
      <c r="L22" s="45">
        <f>IFERROR(VLOOKUP($A22,Kardex!$A$1:$L$1498,12,FALSE),"")</f>
        <v>11</v>
      </c>
    </row>
    <row r="23" spans="1:12" ht="12.75" customHeight="1" x14ac:dyDescent="0.2">
      <c r="A23" s="18">
        <v>22</v>
      </c>
      <c r="B23" s="19">
        <f>IF(IFERROR(VLOOKUP(A23,Kardex!$A$1:$K$1498,2,FALSE),"")=0,"",IFERROR(VLOOKUP(A23,Kardex!$A$1:$K$1498,2,FALSE),""))</f>
        <v>3861</v>
      </c>
      <c r="C23" s="19" t="str">
        <f>IFERROR(VLOOKUP(A23,Kardex!$A$1:$K$1498,3,FALSE),"")</f>
        <v>Perfil</v>
      </c>
      <c r="D23" s="20" t="str">
        <f>IFERROR(VLOOKUP(A23,Kardex!$A$1:$K$1498,4,FALSE),"")</f>
        <v>Sillar P.C. 2044/744 (64,25X16,95) mm</v>
      </c>
      <c r="E23" s="21" t="str">
        <f>IFERROR(VLOOKUP(A23,Kardex!$A$1:$K$1498,5,FALSE),"")</f>
        <v>Banco</v>
      </c>
      <c r="F23" s="21" t="str">
        <f>IFERROR(VLOOKUP(A23,Kardex!$A$1:$K$1498,6,FALSE),"")</f>
        <v>Blanco mate</v>
      </c>
      <c r="G23" s="21">
        <f>IFERROR(VLOOKUP(A23,Kardex!$A$1:$K$1498,7,FALSE),"")</f>
        <v>744</v>
      </c>
      <c r="H23" s="21" t="str">
        <f>IFERROR(VLOOKUP(A23,Kardex!$A$1:$K$1498,8,FALSE),"")</f>
        <v>un</v>
      </c>
      <c r="I23" s="45">
        <f>IFERROR(VLOOKUP($A23,Kardex!$A$1:$L$1498,9,FALSE),"")</f>
        <v>1</v>
      </c>
      <c r="J23" s="45">
        <f>IFERROR(VLOOKUP($A23,Kardex!$A$1:$L$1498,10,FALSE),"")</f>
        <v>0</v>
      </c>
      <c r="K23" s="45">
        <f>IFERROR(VLOOKUP($A23,Kardex!$A$1:$L$1498,11,FALSE),"")</f>
        <v>1</v>
      </c>
      <c r="L23" s="45">
        <f>IFERROR(VLOOKUP($A23,Kardex!$A$1:$L$1498,12,FALSE),"")</f>
        <v>0</v>
      </c>
    </row>
    <row r="24" spans="1:12" ht="12.75" customHeight="1" x14ac:dyDescent="0.2">
      <c r="A24" s="18">
        <v>23</v>
      </c>
      <c r="B24" s="19">
        <f>IF(IFERROR(VLOOKUP(A24,Kardex!$A$1:$K$1498,2,FALSE),"")=0,"",IFERROR(VLOOKUP(A24,Kardex!$A$1:$K$1498,2,FALSE),""))</f>
        <v>4748</v>
      </c>
      <c r="C24" s="19" t="str">
        <f>IFERROR(VLOOKUP(A24,Kardex!$A$1:$K$1498,3,FALSE),"")</f>
        <v>Perfil</v>
      </c>
      <c r="D24" s="20" t="str">
        <f>IFERROR(VLOOKUP(A24,Kardex!$A$1:$K$1498,4,FALSE),"")</f>
        <v>Sillar Alfajia P.C. 2044/744 (99,39X21,79) mm</v>
      </c>
      <c r="E24" s="21" t="str">
        <f>IFERROR(VLOOKUP(A24,Kardex!$A$1:$K$1498,5,FALSE),"")</f>
        <v>Banco</v>
      </c>
      <c r="F24" s="21" t="str">
        <f>IFERROR(VLOOKUP(A24,Kardex!$A$1:$K$1498,6,FALSE),"")</f>
        <v>Blanco pintura</v>
      </c>
      <c r="G24" s="21">
        <f>IFERROR(VLOOKUP(A24,Kardex!$A$1:$K$1498,7,FALSE),"")</f>
        <v>744</v>
      </c>
      <c r="H24" s="21" t="str">
        <f>IFERROR(VLOOKUP(A24,Kardex!$A$1:$K$1498,8,FALSE),"")</f>
        <v>un</v>
      </c>
      <c r="I24" s="45">
        <f>IFERROR(VLOOKUP($A24,Kardex!$A$1:$L$1498,9,FALSE),"")</f>
        <v>0</v>
      </c>
      <c r="J24" s="45">
        <f>IFERROR(VLOOKUP($A24,Kardex!$A$1:$L$1498,10,FALSE),"")</f>
        <v>0</v>
      </c>
      <c r="K24" s="45">
        <f>IFERROR(VLOOKUP($A24,Kardex!$A$1:$L$1498,11,FALSE),"")</f>
        <v>0</v>
      </c>
      <c r="L24" s="45">
        <f>IFERROR(VLOOKUP($A24,Kardex!$A$1:$L$1498,12,FALSE),"")</f>
        <v>0</v>
      </c>
    </row>
    <row r="25" spans="1:12" ht="12.75" customHeight="1" x14ac:dyDescent="0.2">
      <c r="A25" s="18">
        <v>24</v>
      </c>
      <c r="B25" s="19">
        <f>IF(IFERROR(VLOOKUP(A25,Kardex!$A$1:$K$1498,2,FALSE),"")=0,"",IFERROR(VLOOKUP(A25,Kardex!$A$1:$K$1498,2,FALSE),""))</f>
        <v>3863</v>
      </c>
      <c r="C25" s="19" t="str">
        <f>IFERROR(VLOOKUP(A25,Kardex!$A$1:$K$1498,3,FALSE),"")</f>
        <v>Perfil</v>
      </c>
      <c r="D25" s="20" t="str">
        <f>IFERROR(VLOOKUP(A25,Kardex!$A$1:$K$1498,4,FALSE),"")</f>
        <v>Jamba P.C. 2044/744 (60X20,8) mm</v>
      </c>
      <c r="E25" s="21" t="str">
        <f>IFERROR(VLOOKUP(A25,Kardex!$A$1:$K$1498,5,FALSE),"")</f>
        <v>Banco</v>
      </c>
      <c r="F25" s="21" t="str">
        <f>IFERROR(VLOOKUP(A25,Kardex!$A$1:$K$1498,6,FALSE),"")</f>
        <v>Blanco pintura</v>
      </c>
      <c r="G25" s="21">
        <f>IFERROR(VLOOKUP(A25,Kardex!$A$1:$K$1498,7,FALSE),"")</f>
        <v>744</v>
      </c>
      <c r="H25" s="21" t="str">
        <f>IFERROR(VLOOKUP(A25,Kardex!$A$1:$K$1498,8,FALSE),"")</f>
        <v>un</v>
      </c>
      <c r="I25" s="45">
        <f>IFERROR(VLOOKUP($A25,Kardex!$A$1:$L$1498,9,FALSE),"")</f>
        <v>10</v>
      </c>
      <c r="J25" s="45">
        <f>IFERROR(VLOOKUP($A25,Kardex!$A$1:$L$1498,10,FALSE),"")</f>
        <v>8</v>
      </c>
      <c r="K25" s="45">
        <f>IFERROR(VLOOKUP($A25,Kardex!$A$1:$L$1498,11,FALSE),"")</f>
        <v>3</v>
      </c>
      <c r="L25" s="45">
        <f>IFERROR(VLOOKUP($A25,Kardex!$A$1:$L$1498,12,FALSE),"")</f>
        <v>15</v>
      </c>
    </row>
    <row r="26" spans="1:12" ht="12.75" customHeight="1" x14ac:dyDescent="0.2">
      <c r="A26" s="18">
        <v>25</v>
      </c>
      <c r="B26" s="19">
        <f>IF(IFERROR(VLOOKUP(A26,Kardex!$A$1:$K$1498,2,FALSE),"")=0,"",IFERROR(VLOOKUP(A26,Kardex!$A$1:$K$1498,2,FALSE),""))</f>
        <v>3855</v>
      </c>
      <c r="C26" s="19" t="str">
        <f>IFERROR(VLOOKUP(A26,Kardex!$A$1:$K$1498,3,FALSE),"")</f>
        <v>Perfil</v>
      </c>
      <c r="D26" s="20" t="str">
        <f>IFERROR(VLOOKUP(A26,Kardex!$A$1:$K$1498,4,FALSE),"")</f>
        <v>Horizontal superior P.C. 2044/744 (34,2X17) mm</v>
      </c>
      <c r="E26" s="21" t="str">
        <f>IFERROR(VLOOKUP(A26,Kardex!$A$1:$K$1498,5,FALSE),"")</f>
        <v>Banco</v>
      </c>
      <c r="F26" s="21" t="str">
        <f>IFERROR(VLOOKUP(A26,Kardex!$A$1:$K$1498,6,FALSE),"")</f>
        <v>Blanco pintura</v>
      </c>
      <c r="G26" s="21">
        <f>IFERROR(VLOOKUP(A26,Kardex!$A$1:$K$1498,7,FALSE),"")</f>
        <v>744</v>
      </c>
      <c r="H26" s="21" t="str">
        <f>IFERROR(VLOOKUP(A26,Kardex!$A$1:$K$1498,8,FALSE),"")</f>
        <v>un</v>
      </c>
      <c r="I26" s="45">
        <f>IFERROR(VLOOKUP($A26,Kardex!$A$1:$L$1498,9,FALSE),"")</f>
        <v>15</v>
      </c>
      <c r="J26" s="45">
        <f>IFERROR(VLOOKUP($A26,Kardex!$A$1:$L$1498,10,FALSE),"")</f>
        <v>4</v>
      </c>
      <c r="K26" s="45">
        <f>IFERROR(VLOOKUP($A26,Kardex!$A$1:$L$1498,11,FALSE),"")</f>
        <v>1</v>
      </c>
      <c r="L26" s="45">
        <f>IFERROR(VLOOKUP($A26,Kardex!$A$1:$L$1498,12,FALSE),"")</f>
        <v>18</v>
      </c>
    </row>
    <row r="27" spans="1:12" ht="12.75" customHeight="1" x14ac:dyDescent="0.2">
      <c r="A27" s="18">
        <v>26</v>
      </c>
      <c r="B27" s="19">
        <f>IF(IFERROR(VLOOKUP(A27,Kardex!$A$1:$K$1498,2,FALSE),"")=0,"",IFERROR(VLOOKUP(A27,Kardex!$A$1:$K$1498,2,FALSE),""))</f>
        <v>2894</v>
      </c>
      <c r="C27" s="19" t="str">
        <f>IFERROR(VLOOKUP(A27,Kardex!$A$1:$K$1498,3,FALSE),"")</f>
        <v>Perfil</v>
      </c>
      <c r="D27" s="20" t="str">
        <f>IFERROR(VLOOKUP(A27,Kardex!$A$1:$K$1498,4,FALSE),"")</f>
        <v>Horizontal inferior P.C. 2044/744 (49,4X18,2) mm</v>
      </c>
      <c r="E27" s="21" t="str">
        <f>IFERROR(VLOOKUP(A27,Kardex!$A$1:$K$1498,5,FALSE),"")</f>
        <v>Banco</v>
      </c>
      <c r="F27" s="21" t="str">
        <f>IFERROR(VLOOKUP(A27,Kardex!$A$1:$K$1498,6,FALSE),"")</f>
        <v>Blanco pintura</v>
      </c>
      <c r="G27" s="21">
        <f>IFERROR(VLOOKUP(A27,Kardex!$A$1:$K$1498,7,FALSE),"")</f>
        <v>744</v>
      </c>
      <c r="H27" s="21" t="str">
        <f>IFERROR(VLOOKUP(A27,Kardex!$A$1:$K$1498,8,FALSE),"")</f>
        <v>un</v>
      </c>
      <c r="I27" s="45">
        <f>IFERROR(VLOOKUP($A27,Kardex!$A$1:$L$1498,9,FALSE),"")</f>
        <v>11</v>
      </c>
      <c r="J27" s="45">
        <f>IFERROR(VLOOKUP($A27,Kardex!$A$1:$L$1498,10,FALSE),"")</f>
        <v>4</v>
      </c>
      <c r="K27" s="45">
        <f>IFERROR(VLOOKUP($A27,Kardex!$A$1:$L$1498,11,FALSE),"")</f>
        <v>2</v>
      </c>
      <c r="L27" s="45">
        <f>IFERROR(VLOOKUP($A27,Kardex!$A$1:$L$1498,12,FALSE),"")</f>
        <v>13</v>
      </c>
    </row>
    <row r="28" spans="1:12" ht="12.75" customHeight="1" x14ac:dyDescent="0.2">
      <c r="A28" s="18">
        <v>27</v>
      </c>
      <c r="B28" s="19">
        <f>IF(IFERROR(VLOOKUP(A28,Kardex!$A$1:$K$1498,2,FALSE),"")=0,"",IFERROR(VLOOKUP(A28,Kardex!$A$1:$K$1498,2,FALSE),""))</f>
        <v>3903</v>
      </c>
      <c r="C28" s="19" t="str">
        <f>IFERROR(VLOOKUP(A28,Kardex!$A$1:$K$1498,3,FALSE),"")</f>
        <v>Perfil</v>
      </c>
      <c r="D28" s="20" t="str">
        <f>IFERROR(VLOOKUP(A28,Kardex!$A$1:$K$1498,4,FALSE),"")</f>
        <v>Traslape P.C. 2044/744 (44,3X20) mm</v>
      </c>
      <c r="E28" s="21" t="str">
        <f>IFERROR(VLOOKUP(A28,Kardex!$A$1:$K$1498,5,FALSE),"")</f>
        <v>Banco</v>
      </c>
      <c r="F28" s="21" t="str">
        <f>IFERROR(VLOOKUP(A28,Kardex!$A$1:$K$1498,6,FALSE),"")</f>
        <v>Blanco pintura</v>
      </c>
      <c r="G28" s="21">
        <f>IFERROR(VLOOKUP(A28,Kardex!$A$1:$K$1498,7,FALSE),"")</f>
        <v>744</v>
      </c>
      <c r="H28" s="21" t="str">
        <f>IFERROR(VLOOKUP(A28,Kardex!$A$1:$K$1498,8,FALSE),"")</f>
        <v>un</v>
      </c>
      <c r="I28" s="45">
        <f>IFERROR(VLOOKUP($A28,Kardex!$A$1:$L$1498,9,FALSE),"")</f>
        <v>7</v>
      </c>
      <c r="J28" s="45">
        <f>IFERROR(VLOOKUP($A28,Kardex!$A$1:$L$1498,10,FALSE),"")</f>
        <v>4</v>
      </c>
      <c r="K28" s="45">
        <f>IFERROR(VLOOKUP($A28,Kardex!$A$1:$L$1498,11,FALSE),"")</f>
        <v>2</v>
      </c>
      <c r="L28" s="45">
        <f>IFERROR(VLOOKUP($A28,Kardex!$A$1:$L$1498,12,FALSE),"")</f>
        <v>9</v>
      </c>
    </row>
    <row r="29" spans="1:12" ht="12.75" customHeight="1" x14ac:dyDescent="0.2">
      <c r="A29" s="18">
        <v>28</v>
      </c>
      <c r="B29" s="19">
        <f>IF(IFERROR(VLOOKUP(A29,Kardex!$A$1:$K$1498,2,FALSE),"")=0,"",IFERROR(VLOOKUP(A29,Kardex!$A$1:$K$1498,2,FALSE),""))</f>
        <v>3902</v>
      </c>
      <c r="C29" s="19" t="str">
        <f>IFERROR(VLOOKUP(A29,Kardex!$A$1:$K$1498,3,FALSE),"")</f>
        <v>Perfil</v>
      </c>
      <c r="D29" s="20" t="str">
        <f>IFERROR(VLOOKUP(A29,Kardex!$A$1:$K$1498,4,FALSE),"")</f>
        <v>Enganche P.C:. 2044/744 (34X26,5) mm</v>
      </c>
      <c r="E29" s="21" t="str">
        <f>IFERROR(VLOOKUP(A29,Kardex!$A$1:$K$1498,5,FALSE),"")</f>
        <v>Banco</v>
      </c>
      <c r="F29" s="21" t="str">
        <f>IFERROR(VLOOKUP(A29,Kardex!$A$1:$K$1498,6,FALSE),"")</f>
        <v>Blanco pintura</v>
      </c>
      <c r="G29" s="21">
        <f>IFERROR(VLOOKUP(A29,Kardex!$A$1:$K$1498,7,FALSE),"")</f>
        <v>744</v>
      </c>
      <c r="H29" s="21" t="str">
        <f>IFERROR(VLOOKUP(A29,Kardex!$A$1:$K$1498,8,FALSE),"")</f>
        <v>un</v>
      </c>
      <c r="I29" s="45">
        <f>IFERROR(VLOOKUP($A29,Kardex!$A$1:$L$1498,9,FALSE),"")</f>
        <v>9</v>
      </c>
      <c r="J29" s="45">
        <f>IFERROR(VLOOKUP($A29,Kardex!$A$1:$L$1498,10,FALSE),"")</f>
        <v>4</v>
      </c>
      <c r="K29" s="45">
        <f>IFERROR(VLOOKUP($A29,Kardex!$A$1:$L$1498,11,FALSE),"")</f>
        <v>3</v>
      </c>
      <c r="L29" s="45">
        <f>IFERROR(VLOOKUP($A29,Kardex!$A$1:$L$1498,12,FALSE),"")</f>
        <v>10</v>
      </c>
    </row>
    <row r="30" spans="1:12" ht="12.75" customHeight="1" x14ac:dyDescent="0.2">
      <c r="A30" s="18">
        <v>29</v>
      </c>
      <c r="B30" s="19">
        <f>IF(IFERROR(VLOOKUP(A30,Kardex!$A$1:$K$1498,2,FALSE),"")=0,"",IFERROR(VLOOKUP(A30,Kardex!$A$1:$K$1498,2,FALSE),""))</f>
        <v>2003</v>
      </c>
      <c r="C30" s="19" t="str">
        <f>IFERROR(VLOOKUP(A30,Kardex!$A$1:$K$1498,3,FALSE),"")</f>
        <v>Perfil</v>
      </c>
      <c r="D30" s="20" t="str">
        <f>IFERROR(VLOOKUP(A30,Kardex!$A$1:$K$1498,4,FALSE),"")</f>
        <v>Adaptador P.C. 2044/744 (23,2X17) mm</v>
      </c>
      <c r="E30" s="21" t="str">
        <f>IFERROR(VLOOKUP(A30,Kardex!$A$1:$K$1498,5,FALSE),"")</f>
        <v>Banco</v>
      </c>
      <c r="F30" s="21" t="str">
        <f>IFERROR(VLOOKUP(A30,Kardex!$A$1:$K$1498,6,FALSE),"")</f>
        <v>Blanco pintura</v>
      </c>
      <c r="G30" s="21">
        <f>IFERROR(VLOOKUP(A30,Kardex!$A$1:$K$1498,7,FALSE),"")</f>
        <v>744</v>
      </c>
      <c r="H30" s="21" t="str">
        <f>IFERROR(VLOOKUP(A30,Kardex!$A$1:$K$1498,8,FALSE),"")</f>
        <v>un</v>
      </c>
      <c r="I30" s="45">
        <f>IFERROR(VLOOKUP($A30,Kardex!$A$1:$L$1498,9,FALSE),"")</f>
        <v>0</v>
      </c>
      <c r="J30" s="45">
        <f>IFERROR(VLOOKUP($A30,Kardex!$A$1:$L$1498,10,FALSE),"")</f>
        <v>0</v>
      </c>
      <c r="K30" s="45">
        <f>IFERROR(VLOOKUP($A30,Kardex!$A$1:$L$1498,11,FALSE),"")</f>
        <v>0</v>
      </c>
      <c r="L30" s="45">
        <f>IFERROR(VLOOKUP($A30,Kardex!$A$1:$L$1498,12,FALSE),"")</f>
        <v>0</v>
      </c>
    </row>
    <row r="31" spans="1:12" ht="12.75" customHeight="1" x14ac:dyDescent="0.2">
      <c r="A31" s="18">
        <v>30</v>
      </c>
      <c r="B31" s="19">
        <f>IF(IFERROR(VLOOKUP(A31,Kardex!$A$1:$K$1498,2,FALSE),"")=0,"",IFERROR(VLOOKUP(A31,Kardex!$A$1:$K$1498,2,FALSE),""))</f>
        <v>3854</v>
      </c>
      <c r="C31" s="19" t="str">
        <f>IFERROR(VLOOKUP(A31,Kardex!$A$1:$K$1498,3,FALSE),"")</f>
        <v>Perfil</v>
      </c>
      <c r="D31" s="20" t="str">
        <f>IFERROR(VLOOKUP(A31,Kardex!$A$1:$K$1498,4,FALSE),"")</f>
        <v>Cabezal V.C. 4020/5020 (52,7X19) mm</v>
      </c>
      <c r="E31" s="21" t="str">
        <f>IFERROR(VLOOKUP(A31,Kardex!$A$1:$K$1498,5,FALSE),"")</f>
        <v>Banco</v>
      </c>
      <c r="F31" s="21" t="str">
        <f>IFERROR(VLOOKUP(A31,Kardex!$A$1:$K$1498,6,FALSE),"")</f>
        <v>Blanco pintura</v>
      </c>
      <c r="G31" s="21">
        <f>IFERROR(VLOOKUP(A31,Kardex!$A$1:$K$1498,7,FALSE),"")</f>
        <v>5020</v>
      </c>
      <c r="H31" s="21" t="str">
        <f>IFERROR(VLOOKUP(A31,Kardex!$A$1:$K$1498,8,FALSE),"")</f>
        <v>un</v>
      </c>
      <c r="I31" s="45">
        <f>IFERROR(VLOOKUP($A31,Kardex!$A$1:$L$1498,9,FALSE),"")</f>
        <v>0</v>
      </c>
      <c r="J31" s="45">
        <f>IFERROR(VLOOKUP($A31,Kardex!$A$1:$L$1498,10,FALSE),"")</f>
        <v>0</v>
      </c>
      <c r="K31" s="45">
        <f>IFERROR(VLOOKUP($A31,Kardex!$A$1:$L$1498,11,FALSE),"")</f>
        <v>0</v>
      </c>
      <c r="L31" s="45">
        <f>IFERROR(VLOOKUP($A31,Kardex!$A$1:$L$1498,12,FALSE),"")</f>
        <v>0</v>
      </c>
    </row>
    <row r="32" spans="1:12" ht="12.75" customHeight="1" x14ac:dyDescent="0.2">
      <c r="A32" s="18">
        <v>31</v>
      </c>
      <c r="B32" s="19">
        <f>IF(IFERROR(VLOOKUP(A32,Kardex!$A$1:$K$1498,2,FALSE),"")=0,"",IFERROR(VLOOKUP(A32,Kardex!$A$1:$K$1498,2,FALSE),""))</f>
        <v>2829</v>
      </c>
      <c r="C32" s="19" t="str">
        <f>IFERROR(VLOOKUP(A32,Kardex!$A$1:$K$1498,3,FALSE),"")</f>
        <v>Perfil</v>
      </c>
      <c r="D32" s="20" t="str">
        <f>IFERROR(VLOOKUP(A32,Kardex!$A$1:$K$1498,4,FALSE),"")</f>
        <v>Sillar V.C. 4020/5020 (51,4X27) mm</v>
      </c>
      <c r="E32" s="21" t="str">
        <f>IFERROR(VLOOKUP(A32,Kardex!$A$1:$K$1498,5,FALSE),"")</f>
        <v>Banco</v>
      </c>
      <c r="F32" s="21" t="str">
        <f>IFERROR(VLOOKUP(A32,Kardex!$A$1:$K$1498,6,FALSE),"")</f>
        <v>Blanco pintura</v>
      </c>
      <c r="G32" s="21">
        <f>IFERROR(VLOOKUP(A32,Kardex!$A$1:$K$1498,7,FALSE),"")</f>
        <v>5020</v>
      </c>
      <c r="H32" s="21" t="str">
        <f>IFERROR(VLOOKUP(A32,Kardex!$A$1:$K$1498,8,FALSE),"")</f>
        <v>un</v>
      </c>
      <c r="I32" s="45">
        <f>IFERROR(VLOOKUP($A32,Kardex!$A$1:$L$1498,9,FALSE),"")</f>
        <v>11</v>
      </c>
      <c r="J32" s="45">
        <f>IFERROR(VLOOKUP($A32,Kardex!$A$1:$L$1498,10,FALSE),"")</f>
        <v>0</v>
      </c>
      <c r="K32" s="45">
        <f>IFERROR(VLOOKUP($A32,Kardex!$A$1:$L$1498,11,FALSE),"")</f>
        <v>0</v>
      </c>
      <c r="L32" s="45">
        <f>IFERROR(VLOOKUP($A32,Kardex!$A$1:$L$1498,12,FALSE),"")</f>
        <v>11</v>
      </c>
    </row>
    <row r="33" spans="1:12" ht="12.75" customHeight="1" x14ac:dyDescent="0.2">
      <c r="A33" s="18">
        <v>32</v>
      </c>
      <c r="B33" s="19">
        <f>IF(IFERROR(VLOOKUP(A33,Kardex!$A$1:$K$1498,2,FALSE),"")=0,"",IFERROR(VLOOKUP(A33,Kardex!$A$1:$K$1498,2,FALSE),""))</f>
        <v>3853</v>
      </c>
      <c r="C33" s="19" t="str">
        <f>IFERROR(VLOOKUP(A33,Kardex!$A$1:$K$1498,3,FALSE),"")</f>
        <v>Perfil</v>
      </c>
      <c r="D33" s="20" t="str">
        <f>IFERROR(VLOOKUP(A33,Kardex!$A$1:$K$1498,4,FALSE),"")</f>
        <v>Sillar alfajia V.C. 4020/5020 (99X33,2) mm</v>
      </c>
      <c r="E33" s="21" t="str">
        <f>IFERROR(VLOOKUP(A33,Kardex!$A$1:$K$1498,5,FALSE),"")</f>
        <v>Banco</v>
      </c>
      <c r="F33" s="21" t="str">
        <f>IFERROR(VLOOKUP(A33,Kardex!$A$1:$K$1498,6,FALSE),"")</f>
        <v>Blanco pintura</v>
      </c>
      <c r="G33" s="21">
        <f>IFERROR(VLOOKUP(A33,Kardex!$A$1:$K$1498,7,FALSE),"")</f>
        <v>5020</v>
      </c>
      <c r="H33" s="21" t="str">
        <f>IFERROR(VLOOKUP(A33,Kardex!$A$1:$K$1498,8,FALSE),"")</f>
        <v>un</v>
      </c>
      <c r="I33" s="45">
        <f>IFERROR(VLOOKUP($A33,Kardex!$A$1:$L$1498,9,FALSE),"")</f>
        <v>0</v>
      </c>
      <c r="J33" s="45">
        <f>IFERROR(VLOOKUP($A33,Kardex!$A$1:$L$1498,10,FALSE),"")</f>
        <v>0</v>
      </c>
      <c r="K33" s="45">
        <f>IFERROR(VLOOKUP($A33,Kardex!$A$1:$L$1498,11,FALSE),"")</f>
        <v>0</v>
      </c>
      <c r="L33" s="45">
        <f>IFERROR(VLOOKUP($A33,Kardex!$A$1:$L$1498,12,FALSE),"")</f>
        <v>0</v>
      </c>
    </row>
    <row r="34" spans="1:12" ht="12.75" customHeight="1" x14ac:dyDescent="0.2">
      <c r="A34" s="18">
        <v>33</v>
      </c>
      <c r="B34" s="19">
        <f>IF(IFERROR(VLOOKUP(A34,Kardex!$A$1:$K$1498,2,FALSE),"")=0,"",IFERROR(VLOOKUP(A34,Kardex!$A$1:$K$1498,2,FALSE),""))</f>
        <v>2831</v>
      </c>
      <c r="C34" s="19" t="str">
        <f>IFERROR(VLOOKUP(A34,Kardex!$A$1:$K$1498,3,FALSE),"")</f>
        <v>Perfil</v>
      </c>
      <c r="D34" s="20" t="str">
        <f>IFERROR(VLOOKUP(A34,Kardex!$A$1:$K$1498,4,FALSE),"")</f>
        <v>Jamba V.C. 4020/5020 (50X19,4) mm</v>
      </c>
      <c r="E34" s="21" t="str">
        <f>IFERROR(VLOOKUP(A34,Kardex!$A$1:$K$1498,5,FALSE),"")</f>
        <v>Banco</v>
      </c>
      <c r="F34" s="21" t="str">
        <f>IFERROR(VLOOKUP(A34,Kardex!$A$1:$K$1498,6,FALSE),"")</f>
        <v>Blanco pintura</v>
      </c>
      <c r="G34" s="21">
        <f>IFERROR(VLOOKUP(A34,Kardex!$A$1:$K$1498,7,FALSE),"")</f>
        <v>5020</v>
      </c>
      <c r="H34" s="21" t="str">
        <f>IFERROR(VLOOKUP(A34,Kardex!$A$1:$K$1498,8,FALSE),"")</f>
        <v>un</v>
      </c>
      <c r="I34" s="45">
        <f>IFERROR(VLOOKUP($A34,Kardex!$A$1:$L$1498,9,FALSE),"")</f>
        <v>12</v>
      </c>
      <c r="J34" s="45">
        <f>IFERROR(VLOOKUP($A34,Kardex!$A$1:$L$1498,10,FALSE),"")</f>
        <v>0</v>
      </c>
      <c r="K34" s="45">
        <f>IFERROR(VLOOKUP($A34,Kardex!$A$1:$L$1498,11,FALSE),"")</f>
        <v>0</v>
      </c>
      <c r="L34" s="45">
        <f>IFERROR(VLOOKUP($A34,Kardex!$A$1:$L$1498,12,FALSE),"")</f>
        <v>12</v>
      </c>
    </row>
    <row r="35" spans="1:12" ht="12.75" customHeight="1" x14ac:dyDescent="0.2">
      <c r="A35" s="18">
        <v>34</v>
      </c>
      <c r="B35" s="19">
        <f>IF(IFERROR(VLOOKUP(A35,Kardex!$A$1:$K$1498,2,FALSE),"")=0,"",IFERROR(VLOOKUP(A35,Kardex!$A$1:$K$1498,2,FALSE),""))</f>
        <v>2833</v>
      </c>
      <c r="C35" s="19" t="str">
        <f>IFERROR(VLOOKUP(A35,Kardex!$A$1:$K$1498,3,FALSE),"")</f>
        <v>Perfil</v>
      </c>
      <c r="D35" s="20" t="str">
        <f>IFERROR(VLOOKUP(A35,Kardex!$A$1:$K$1498,4,FALSE),"")</f>
        <v>Horizontal superior/inferior V.C. 4020/5020 (38,5X15,4) mm</v>
      </c>
      <c r="E35" s="21" t="str">
        <f>IFERROR(VLOOKUP(A35,Kardex!$A$1:$K$1498,5,FALSE),"")</f>
        <v>Banco</v>
      </c>
      <c r="F35" s="21" t="str">
        <f>IFERROR(VLOOKUP(A35,Kardex!$A$1:$K$1498,6,FALSE),"")</f>
        <v>Blanco pintura</v>
      </c>
      <c r="G35" s="21">
        <f>IFERROR(VLOOKUP(A35,Kardex!$A$1:$K$1498,7,FALSE),"")</f>
        <v>5020</v>
      </c>
      <c r="H35" s="21" t="str">
        <f>IFERROR(VLOOKUP(A35,Kardex!$A$1:$K$1498,8,FALSE),"")</f>
        <v>un</v>
      </c>
      <c r="I35" s="45">
        <f>IFERROR(VLOOKUP($A35,Kardex!$A$1:$L$1498,9,FALSE),"")</f>
        <v>6</v>
      </c>
      <c r="J35" s="45">
        <f>IFERROR(VLOOKUP($A35,Kardex!$A$1:$L$1498,10,FALSE),"")</f>
        <v>0</v>
      </c>
      <c r="K35" s="45">
        <f>IFERROR(VLOOKUP($A35,Kardex!$A$1:$L$1498,11,FALSE),"")</f>
        <v>0</v>
      </c>
      <c r="L35" s="45">
        <f>IFERROR(VLOOKUP($A35,Kardex!$A$1:$L$1498,12,FALSE),"")</f>
        <v>6</v>
      </c>
    </row>
    <row r="36" spans="1:12" ht="12.75" customHeight="1" x14ac:dyDescent="0.2">
      <c r="A36" s="18">
        <v>35</v>
      </c>
      <c r="B36" s="19">
        <f>IF(IFERROR(VLOOKUP(A36,Kardex!$A$1:$K$1498,2,FALSE),"")=0,"",IFERROR(VLOOKUP(A36,Kardex!$A$1:$K$1498,2,FALSE),""))</f>
        <v>2832</v>
      </c>
      <c r="C36" s="19" t="str">
        <f>IFERROR(VLOOKUP(A36,Kardex!$A$1:$K$1498,3,FALSE),"")</f>
        <v>Perfil</v>
      </c>
      <c r="D36" s="20" t="str">
        <f>IFERROR(VLOOKUP(A36,Kardex!$A$1:$K$1498,4,FALSE),"")</f>
        <v>Traslape V.C. 4020/5020 (23,6X18,3) mm</v>
      </c>
      <c r="E36" s="21" t="str">
        <f>IFERROR(VLOOKUP(A36,Kardex!$A$1:$K$1498,5,FALSE),"")</f>
        <v>Banco</v>
      </c>
      <c r="F36" s="21" t="str">
        <f>IFERROR(VLOOKUP(A36,Kardex!$A$1:$K$1498,6,FALSE),"")</f>
        <v>Blanco pintura</v>
      </c>
      <c r="G36" s="21">
        <f>IFERROR(VLOOKUP(A36,Kardex!$A$1:$K$1498,7,FALSE),"")</f>
        <v>5020</v>
      </c>
      <c r="H36" s="21" t="str">
        <f>IFERROR(VLOOKUP(A36,Kardex!$A$1:$K$1498,8,FALSE),"")</f>
        <v>un</v>
      </c>
      <c r="I36" s="45">
        <f>IFERROR(VLOOKUP($A36,Kardex!$A$1:$L$1498,9,FALSE),"")</f>
        <v>12</v>
      </c>
      <c r="J36" s="45">
        <f>IFERROR(VLOOKUP($A36,Kardex!$A$1:$L$1498,10,FALSE),"")</f>
        <v>0</v>
      </c>
      <c r="K36" s="45">
        <f>IFERROR(VLOOKUP($A36,Kardex!$A$1:$L$1498,11,FALSE),"")</f>
        <v>0</v>
      </c>
      <c r="L36" s="45">
        <f>IFERROR(VLOOKUP($A36,Kardex!$A$1:$L$1498,12,FALSE),"")</f>
        <v>12</v>
      </c>
    </row>
    <row r="37" spans="1:12" ht="12.75" customHeight="1" x14ac:dyDescent="0.2">
      <c r="A37" s="18">
        <v>36</v>
      </c>
      <c r="B37" s="19">
        <f>IF(IFERROR(VLOOKUP(A37,Kardex!$A$1:$K$1498,2,FALSE),"")=0,"",IFERROR(VLOOKUP(A37,Kardex!$A$1:$K$1498,2,FALSE),""))</f>
        <v>3852</v>
      </c>
      <c r="C37" s="19" t="str">
        <f>IFERROR(VLOOKUP(A37,Kardex!$A$1:$K$1498,3,FALSE),"")</f>
        <v>Perfil</v>
      </c>
      <c r="D37" s="20" t="str">
        <f>IFERROR(VLOOKUP(A37,Kardex!$A$1:$K$1498,4,FALSE),"")</f>
        <v>Traslape reforzado V.C. 4020/5020 (42X18) mm</v>
      </c>
      <c r="E37" s="21" t="str">
        <f>IFERROR(VLOOKUP(A37,Kardex!$A$1:$K$1498,5,FALSE),"")</f>
        <v>Banco</v>
      </c>
      <c r="F37" s="21" t="str">
        <f>IFERROR(VLOOKUP(A37,Kardex!$A$1:$K$1498,6,FALSE),"")</f>
        <v>Blanco pintura</v>
      </c>
      <c r="G37" s="21">
        <f>IFERROR(VLOOKUP(A37,Kardex!$A$1:$K$1498,7,FALSE),"")</f>
        <v>5020</v>
      </c>
      <c r="H37" s="21" t="str">
        <f>IFERROR(VLOOKUP(A37,Kardex!$A$1:$K$1498,8,FALSE),"")</f>
        <v>un</v>
      </c>
      <c r="I37" s="45">
        <f>IFERROR(VLOOKUP($A37,Kardex!$A$1:$L$1498,9,FALSE),"")</f>
        <v>0</v>
      </c>
      <c r="J37" s="45">
        <f>IFERROR(VLOOKUP($A37,Kardex!$A$1:$L$1498,10,FALSE),"")</f>
        <v>0</v>
      </c>
      <c r="K37" s="45">
        <f>IFERROR(VLOOKUP($A37,Kardex!$A$1:$L$1498,11,FALSE),"")</f>
        <v>0</v>
      </c>
      <c r="L37" s="45">
        <f>IFERROR(VLOOKUP($A37,Kardex!$A$1:$L$1498,12,FALSE),"")</f>
        <v>0</v>
      </c>
    </row>
    <row r="38" spans="1:12" ht="12.75" customHeight="1" x14ac:dyDescent="0.2">
      <c r="A38" s="18">
        <v>37</v>
      </c>
      <c r="B38" s="19">
        <f>IF(IFERROR(VLOOKUP(A38,Kardex!$A$1:$K$1498,2,FALSE),"")=0,"",IFERROR(VLOOKUP(A38,Kardex!$A$1:$K$1498,2,FALSE),""))</f>
        <v>2834</v>
      </c>
      <c r="C38" s="19" t="str">
        <f>IFERROR(VLOOKUP(A38,Kardex!$A$1:$K$1498,3,FALSE),"")</f>
        <v>Perfil</v>
      </c>
      <c r="D38" s="20" t="str">
        <f>IFERROR(VLOOKUP(A38,Kardex!$A$1:$K$1498,4,FALSE),"")</f>
        <v>Enganche V.C. 4020/5020 (24,8X25,6) mm</v>
      </c>
      <c r="E38" s="21" t="str">
        <f>IFERROR(VLOOKUP(A38,Kardex!$A$1:$K$1498,5,FALSE),"")</f>
        <v>Banco</v>
      </c>
      <c r="F38" s="21" t="str">
        <f>IFERROR(VLOOKUP(A38,Kardex!$A$1:$K$1498,6,FALSE),"")</f>
        <v>Blanco pintura</v>
      </c>
      <c r="G38" s="21">
        <f>IFERROR(VLOOKUP(A38,Kardex!$A$1:$K$1498,7,FALSE),"")</f>
        <v>5020</v>
      </c>
      <c r="H38" s="21" t="str">
        <f>IFERROR(VLOOKUP(A38,Kardex!$A$1:$K$1498,8,FALSE),"")</f>
        <v>un</v>
      </c>
      <c r="I38" s="45">
        <f>IFERROR(VLOOKUP($A38,Kardex!$A$1:$L$1498,9,FALSE),"")</f>
        <v>11</v>
      </c>
      <c r="J38" s="45">
        <f>IFERROR(VLOOKUP($A38,Kardex!$A$1:$L$1498,10,FALSE),"")</f>
        <v>0</v>
      </c>
      <c r="K38" s="45">
        <f>IFERROR(VLOOKUP($A38,Kardex!$A$1:$L$1498,11,FALSE),"")</f>
        <v>0</v>
      </c>
      <c r="L38" s="45">
        <f>IFERROR(VLOOKUP($A38,Kardex!$A$1:$L$1498,12,FALSE),"")</f>
        <v>11</v>
      </c>
    </row>
    <row r="39" spans="1:12" ht="12.75" customHeight="1" x14ac:dyDescent="0.2">
      <c r="A39" s="18">
        <v>38</v>
      </c>
      <c r="B39" s="19">
        <f>IF(IFERROR(VLOOKUP(A39,Kardex!$A$1:$K$1498,2,FALSE),"")=0,"",IFERROR(VLOOKUP(A39,Kardex!$A$1:$K$1498,2,FALSE),""))</f>
        <v>1865</v>
      </c>
      <c r="C39" s="19" t="str">
        <f>IFERROR(VLOOKUP(A39,Kardex!$A$1:$K$1498,3,FALSE),"")</f>
        <v>Perfil</v>
      </c>
      <c r="D39" s="20" t="str">
        <f>IFERROR(VLOOKUP(A39,Kardex!$A$1:$K$1498,4,FALSE),"")</f>
        <v>Adaptador V.C. 4020/5020 (22X16) mm</v>
      </c>
      <c r="E39" s="21" t="str">
        <f>IFERROR(VLOOKUP(A39,Kardex!$A$1:$K$1498,5,FALSE),"")</f>
        <v>Banco</v>
      </c>
      <c r="F39" s="21" t="str">
        <f>IFERROR(VLOOKUP(A39,Kardex!$A$1:$K$1498,6,FALSE),"")</f>
        <v>Blanco pintura</v>
      </c>
      <c r="G39" s="21">
        <f>IFERROR(VLOOKUP(A39,Kardex!$A$1:$K$1498,7,FALSE),"")</f>
        <v>5020</v>
      </c>
      <c r="H39" s="21" t="str">
        <f>IFERROR(VLOOKUP(A39,Kardex!$A$1:$K$1498,8,FALSE),"")</f>
        <v>un</v>
      </c>
      <c r="I39" s="45">
        <f>IFERROR(VLOOKUP($A39,Kardex!$A$1:$L$1498,9,FALSE),"")</f>
        <v>0</v>
      </c>
      <c r="J39" s="45">
        <f>IFERROR(VLOOKUP($A39,Kardex!$A$1:$L$1498,10,FALSE),"")</f>
        <v>0</v>
      </c>
      <c r="K39" s="45">
        <f>IFERROR(VLOOKUP($A39,Kardex!$A$1:$L$1498,11,FALSE),"")</f>
        <v>0</v>
      </c>
      <c r="L39" s="45">
        <f>IFERROR(VLOOKUP($A39,Kardex!$A$1:$L$1498,12,FALSE),"")</f>
        <v>0</v>
      </c>
    </row>
    <row r="40" spans="1:12" ht="12.75" customHeight="1" x14ac:dyDescent="0.2">
      <c r="A40" s="18">
        <v>39</v>
      </c>
      <c r="B40" s="19">
        <f>IF(IFERROR(VLOOKUP(A40,Kardex!$A$1:$K$1498,2,FALSE),"")=0,"",IFERROR(VLOOKUP(A40,Kardex!$A$1:$K$1498,2,FALSE),""))</f>
        <v>3894</v>
      </c>
      <c r="C40" s="19" t="str">
        <f>IFERROR(VLOOKUP(A40,Kardex!$A$1:$K$1498,3,FALSE),"")</f>
        <v>Perfil</v>
      </c>
      <c r="D40" s="20" t="str">
        <f>IFERROR(VLOOKUP(A40,Kardex!$A$1:$K$1498,4,FALSE),"")</f>
        <v>Tubular con aleta descentrada (3X1)" (72,6X37,4) mm</v>
      </c>
      <c r="E40" s="21" t="str">
        <f>IFERROR(VLOOKUP(A40,Kardex!$A$1:$K$1498,5,FALSE),"")</f>
        <v>Banco</v>
      </c>
      <c r="F40" s="21" t="str">
        <f>IFERROR(VLOOKUP(A40,Kardex!$A$1:$K$1498,6,FALSE),"")</f>
        <v>Blanco pintura</v>
      </c>
      <c r="G40" s="21" t="str">
        <f>IFERROR(VLOOKUP(A40,Kardex!$A$1:$K$1498,7,FALSE),"")</f>
        <v>T A</v>
      </c>
      <c r="H40" s="21" t="str">
        <f>IFERROR(VLOOKUP(A40,Kardex!$A$1:$K$1498,8,FALSE),"")</f>
        <v>un</v>
      </c>
      <c r="I40" s="45">
        <f>IFERROR(VLOOKUP($A40,Kardex!$A$1:$L$1498,9,FALSE),"")</f>
        <v>3</v>
      </c>
      <c r="J40" s="45">
        <f>IFERROR(VLOOKUP($A40,Kardex!$A$1:$L$1498,10,FALSE),"")</f>
        <v>0</v>
      </c>
      <c r="K40" s="45">
        <f>IFERROR(VLOOKUP($A40,Kardex!$A$1:$L$1498,11,FALSE),"")</f>
        <v>0</v>
      </c>
      <c r="L40" s="45">
        <f>IFERROR(VLOOKUP($A40,Kardex!$A$1:$L$1498,12,FALSE),"")</f>
        <v>3</v>
      </c>
    </row>
    <row r="41" spans="1:12" ht="12.75" customHeight="1" x14ac:dyDescent="0.2">
      <c r="A41" s="18">
        <v>40</v>
      </c>
      <c r="B41" s="19">
        <f>IF(IFERROR(VLOOKUP(A41,Kardex!$A$1:$K$1498,2,FALSE),"")=0,"",IFERROR(VLOOKUP(A41,Kardex!$A$1:$K$1498,2,FALSE),""))</f>
        <v>3892</v>
      </c>
      <c r="C41" s="19" t="str">
        <f>IFERROR(VLOOKUP(A41,Kardex!$A$1:$K$1498,3,FALSE),"")</f>
        <v>Perfil</v>
      </c>
      <c r="D41" s="20" t="str">
        <f>IFERROR(VLOOKUP(A41,Kardex!$A$1:$K$1498,4,FALSE),"")</f>
        <v>Tubular con doble aleta descentrada (3X1)" (72,6X49,4) mm</v>
      </c>
      <c r="E41" s="21" t="str">
        <f>IFERROR(VLOOKUP(A41,Kardex!$A$1:$K$1498,5,FALSE),"")</f>
        <v>Banco</v>
      </c>
      <c r="F41" s="21" t="str">
        <f>IFERROR(VLOOKUP(A41,Kardex!$A$1:$K$1498,6,FALSE),"")</f>
        <v>Blanco pintura</v>
      </c>
      <c r="G41" s="21" t="str">
        <f>IFERROR(VLOOKUP(A41,Kardex!$A$1:$K$1498,7,FALSE),"")</f>
        <v>T 2A</v>
      </c>
      <c r="H41" s="21" t="str">
        <f>IFERROR(VLOOKUP(A41,Kardex!$A$1:$K$1498,8,FALSE),"")</f>
        <v>un</v>
      </c>
      <c r="I41" s="45">
        <f>IFERROR(VLOOKUP($A41,Kardex!$A$1:$L$1498,9,FALSE),"")</f>
        <v>0</v>
      </c>
      <c r="J41" s="45">
        <f>IFERROR(VLOOKUP($A41,Kardex!$A$1:$L$1498,10,FALSE),"")</f>
        <v>0</v>
      </c>
      <c r="K41" s="45">
        <f>IFERROR(VLOOKUP($A41,Kardex!$A$1:$L$1498,11,FALSE),"")</f>
        <v>0</v>
      </c>
      <c r="L41" s="45">
        <f>IFERROR(VLOOKUP($A41,Kardex!$A$1:$L$1498,12,FALSE),"")</f>
        <v>0</v>
      </c>
    </row>
    <row r="42" spans="1:12" ht="12.75" customHeight="1" x14ac:dyDescent="0.2">
      <c r="A42" s="18">
        <v>41</v>
      </c>
      <c r="B42" s="19">
        <f>IF(IFERROR(VLOOKUP(A42,Kardex!$A$1:$K$1498,2,FALSE),"")=0,"",IFERROR(VLOOKUP(A42,Kardex!$A$1:$K$1498,2,FALSE),""))</f>
        <v>3895</v>
      </c>
      <c r="C42" s="19" t="str">
        <f>IFERROR(VLOOKUP(A42,Kardex!$A$1:$K$1498,3,FALSE),"")</f>
        <v>Perfil</v>
      </c>
      <c r="D42" s="20" t="str">
        <f>IFERROR(VLOOKUP(A42,Kardex!$A$1:$K$1498,4,FALSE),"")</f>
        <v>Tubular (3X1)" (76,2X25,4) mm espesor 1,2 mm</v>
      </c>
      <c r="E42" s="21" t="str">
        <f>IFERROR(VLOOKUP(A42,Kardex!$A$1:$K$1498,5,FALSE),"")</f>
        <v>Banco</v>
      </c>
      <c r="F42" s="21" t="str">
        <f>IFERROR(VLOOKUP(A42,Kardex!$A$1:$K$1498,6,FALSE),"")</f>
        <v>Blanco mate</v>
      </c>
      <c r="G42" s="21" t="str">
        <f>IFERROR(VLOOKUP(A42,Kardex!$A$1:$K$1498,7,FALSE),"")</f>
        <v>T</v>
      </c>
      <c r="H42" s="21" t="str">
        <f>IFERROR(VLOOKUP(A42,Kardex!$A$1:$K$1498,8,FALSE),"")</f>
        <v>un</v>
      </c>
      <c r="I42" s="45">
        <f>IFERROR(VLOOKUP($A42,Kardex!$A$1:$L$1498,9,FALSE),"")</f>
        <v>2</v>
      </c>
      <c r="J42" s="45">
        <f>IFERROR(VLOOKUP($A42,Kardex!$A$1:$L$1498,10,FALSE),"")</f>
        <v>0</v>
      </c>
      <c r="K42" s="45">
        <f>IFERROR(VLOOKUP($A42,Kardex!$A$1:$L$1498,11,FALSE),"")</f>
        <v>1</v>
      </c>
      <c r="L42" s="45">
        <f>IFERROR(VLOOKUP($A42,Kardex!$A$1:$L$1498,12,FALSE),"")</f>
        <v>1</v>
      </c>
    </row>
    <row r="43" spans="1:12" ht="12.75" customHeight="1" x14ac:dyDescent="0.2">
      <c r="A43" s="18">
        <v>42</v>
      </c>
      <c r="B43" s="19">
        <f>IF(IFERROR(VLOOKUP(A43,Kardex!$A$1:$K$1498,2,FALSE),"")=0,"",IFERROR(VLOOKUP(A43,Kardex!$A$1:$K$1498,2,FALSE),""))</f>
        <v>2837</v>
      </c>
      <c r="C43" s="19" t="str">
        <f>IFERROR(VLOOKUP(A43,Kardex!$A$1:$K$1498,3,FALSE),"")</f>
        <v>Perfil</v>
      </c>
      <c r="D43" s="20" t="str">
        <f>IFERROR(VLOOKUP(A43,Kardex!$A$1:$K$1498,4,FALSE),"")</f>
        <v>Tubular (3X1 1/2)" (76,2X38) mm espesor 1,1 mm</v>
      </c>
      <c r="E43" s="21" t="str">
        <f>IFERROR(VLOOKUP(A43,Kardex!$A$1:$K$1498,5,FALSE),"")</f>
        <v>Banco</v>
      </c>
      <c r="F43" s="21" t="str">
        <f>IFERROR(VLOOKUP(A43,Kardex!$A$1:$K$1498,6,FALSE),"")</f>
        <v>Blanco pintura</v>
      </c>
      <c r="G43" s="21" t="str">
        <f>IFERROR(VLOOKUP(A43,Kardex!$A$1:$K$1498,7,FALSE),"")</f>
        <v>T</v>
      </c>
      <c r="H43" s="21" t="str">
        <f>IFERROR(VLOOKUP(A43,Kardex!$A$1:$K$1498,8,FALSE),"")</f>
        <v>un</v>
      </c>
      <c r="I43" s="45">
        <f>IFERROR(VLOOKUP($A43,Kardex!$A$1:$L$1498,9,FALSE),"")</f>
        <v>1</v>
      </c>
      <c r="J43" s="45">
        <f>IFERROR(VLOOKUP($A43,Kardex!$A$1:$L$1498,10,FALSE),"")</f>
        <v>0</v>
      </c>
      <c r="K43" s="45">
        <f>IFERROR(VLOOKUP($A43,Kardex!$A$1:$L$1498,11,FALSE),"")</f>
        <v>0</v>
      </c>
      <c r="L43" s="45">
        <f>IFERROR(VLOOKUP($A43,Kardex!$A$1:$L$1498,12,FALSE),"")</f>
        <v>1</v>
      </c>
    </row>
    <row r="44" spans="1:12" ht="12.75" customHeight="1" x14ac:dyDescent="0.2">
      <c r="A44" s="18">
        <v>43</v>
      </c>
      <c r="B44" s="19" t="str">
        <f>IF(IFERROR(VLOOKUP(A44,Kardex!$A$1:$K$1498,2,FALSE),"")=0,"",IFERROR(VLOOKUP(A44,Kardex!$A$1:$K$1498,2,FALSE),""))</f>
        <v/>
      </c>
      <c r="C44" s="19" t="str">
        <f>IFERROR(VLOOKUP(A44,Kardex!$A$1:$K$1498,3,FALSE),"")</f>
        <v>Perfil</v>
      </c>
      <c r="D44" s="20" t="str">
        <f>IFERROR(VLOOKUP(A44,Kardex!$A$1:$K$1498,4,FALSE),"")</f>
        <v>Platina toallero</v>
      </c>
      <c r="E44" s="21" t="str">
        <f>IFERROR(VLOOKUP(A44,Kardex!$A$1:$K$1498,5,FALSE),"")</f>
        <v>Banco</v>
      </c>
      <c r="F44" s="21">
        <f>IFERROR(VLOOKUP(A44,Kardex!$A$1:$K$1498,6,FALSE),"")</f>
        <v>0</v>
      </c>
      <c r="G44" s="21">
        <f>IFERROR(VLOOKUP(A44,Kardex!$A$1:$K$1498,7,FALSE),"")</f>
        <v>0</v>
      </c>
      <c r="H44" s="21" t="str">
        <f>IFERROR(VLOOKUP(A44,Kardex!$A$1:$K$1498,8,FALSE),"")</f>
        <v>un</v>
      </c>
      <c r="I44" s="45">
        <f>IFERROR(VLOOKUP($A44,Kardex!$A$1:$L$1498,9,FALSE),"")</f>
        <v>0</v>
      </c>
      <c r="J44" s="45">
        <f>IFERROR(VLOOKUP($A44,Kardex!$A$1:$L$1498,10,FALSE),"")</f>
        <v>2</v>
      </c>
      <c r="K44" s="45">
        <f>IFERROR(VLOOKUP($A44,Kardex!$A$1:$L$1498,11,FALSE),"")</f>
        <v>1</v>
      </c>
      <c r="L44" s="45">
        <f>IFERROR(VLOOKUP($A44,Kardex!$A$1:$L$1498,12,FALSE),"")</f>
        <v>1</v>
      </c>
    </row>
    <row r="45" spans="1:12" ht="12.75" customHeight="1" x14ac:dyDescent="0.2">
      <c r="A45" s="18">
        <v>44</v>
      </c>
      <c r="B45" s="19" t="str">
        <f>IF(IFERROR(VLOOKUP(A45,Kardex!$A$1:$K$1498,2,FALSE),"")=0,"",IFERROR(VLOOKUP(A45,Kardex!$A$1:$K$1498,2,FALSE),""))</f>
        <v/>
      </c>
      <c r="C45" s="19" t="str">
        <f>IFERROR(VLOOKUP(A45,Kardex!$A$1:$K$1498,3,FALSE),"")</f>
        <v>Perfil</v>
      </c>
      <c r="D45" s="20" t="str">
        <f>IFERROR(VLOOKUP(A45,Kardex!$A$1:$K$1498,4,FALSE),"")</f>
        <v>Enchape</v>
      </c>
      <c r="E45" s="21" t="str">
        <f>IFERROR(VLOOKUP(A45,Kardex!$A$1:$K$1498,5,FALSE),"")</f>
        <v>Banco</v>
      </c>
      <c r="F45" s="21" t="str">
        <f>IFERROR(VLOOKUP(A45,Kardex!$A$1:$K$1498,6,FALSE),"")</f>
        <v>Blanco pintura</v>
      </c>
      <c r="G45" s="21">
        <f>IFERROR(VLOOKUP(A45,Kardex!$A$1:$K$1498,7,FALSE),"")</f>
        <v>0</v>
      </c>
      <c r="H45" s="21" t="str">
        <f>IFERROR(VLOOKUP(A45,Kardex!$A$1:$K$1498,8,FALSE),"")</f>
        <v>un</v>
      </c>
      <c r="I45" s="45">
        <f>IFERROR(VLOOKUP($A45,Kardex!$A$1:$L$1498,9,FALSE),"")</f>
        <v>0</v>
      </c>
      <c r="J45" s="45">
        <f>IFERROR(VLOOKUP($A45,Kardex!$A$1:$L$1498,10,FALSE),"")</f>
        <v>7</v>
      </c>
      <c r="K45" s="45">
        <f>IFERROR(VLOOKUP($A45,Kardex!$A$1:$L$1498,11,FALSE),"")</f>
        <v>0</v>
      </c>
      <c r="L45" s="45">
        <f>IFERROR(VLOOKUP($A45,Kardex!$A$1:$L$1498,12,FALSE),"")</f>
        <v>7</v>
      </c>
    </row>
    <row r="46" spans="1:12" ht="12.75" customHeight="1" x14ac:dyDescent="0.2">
      <c r="A46" s="18">
        <v>45</v>
      </c>
      <c r="B46" s="19" t="str">
        <f>IF(IFERROR(VLOOKUP(A46,Kardex!$A$1:$K$1498,2,FALSE),"")=0,"",IFERROR(VLOOKUP(A46,Kardex!$A$1:$K$1498,2,FALSE),""))</f>
        <v/>
      </c>
      <c r="C46" s="19" t="str">
        <f>IFERROR(VLOOKUP(A46,Kardex!$A$1:$K$1498,3,FALSE),"")</f>
        <v>Perfil</v>
      </c>
      <c r="D46" s="20" t="str">
        <f>IFERROR(VLOOKUP(A46,Kardex!$A$1:$K$1498,4,FALSE),"")</f>
        <v>Perfil U division de baño</v>
      </c>
      <c r="E46" s="21" t="str">
        <f>IFERROR(VLOOKUP(A46,Kardex!$A$1:$K$1498,5,FALSE),"")</f>
        <v>Banco</v>
      </c>
      <c r="F46" s="21">
        <f>IFERROR(VLOOKUP(A46,Kardex!$A$1:$K$1498,6,FALSE),"")</f>
        <v>0</v>
      </c>
      <c r="G46" s="21">
        <f>IFERROR(VLOOKUP(A46,Kardex!$A$1:$K$1498,7,FALSE),"")</f>
        <v>0</v>
      </c>
      <c r="H46" s="21" t="str">
        <f>IFERROR(VLOOKUP(A46,Kardex!$A$1:$K$1498,8,FALSE),"")</f>
        <v>un</v>
      </c>
      <c r="I46" s="45">
        <f>IFERROR(VLOOKUP($A46,Kardex!$A$1:$L$1498,9,FALSE),"")</f>
        <v>0</v>
      </c>
      <c r="J46" s="45">
        <f>IFERROR(VLOOKUP($A46,Kardex!$A$1:$L$1498,10,FALSE),"")</f>
        <v>15</v>
      </c>
      <c r="K46" s="45">
        <f>IFERROR(VLOOKUP($A46,Kardex!$A$1:$L$1498,11,FALSE),"")</f>
        <v>7</v>
      </c>
      <c r="L46" s="45">
        <f>IFERROR(VLOOKUP($A46,Kardex!$A$1:$L$1498,12,FALSE),"")</f>
        <v>8</v>
      </c>
    </row>
    <row r="47" spans="1:12" ht="12.75" customHeight="1" x14ac:dyDescent="0.2">
      <c r="A47" s="18">
        <v>46</v>
      </c>
      <c r="B47" s="19" t="str">
        <f>IF(IFERROR(VLOOKUP(A47,Kardex!$A$1:$K$1498,2,FALSE),"")=0,"",IFERROR(VLOOKUP(A47,Kardex!$A$1:$K$1498,2,FALSE),""))</f>
        <v/>
      </c>
      <c r="C47" s="19" t="str">
        <f>IFERROR(VLOOKUP(A47,Kardex!$A$1:$K$1498,3,FALSE),"")</f>
        <v>Perfil</v>
      </c>
      <c r="D47" s="20" t="str">
        <f>IFERROR(VLOOKUP(A47,Kardex!$A$1:$K$1498,4,FALSE),"")</f>
        <v>Perfil carrilera division de baño</v>
      </c>
      <c r="E47" s="21" t="str">
        <f>IFERROR(VLOOKUP(A47,Kardex!$A$1:$K$1498,5,FALSE),"")</f>
        <v>Banco</v>
      </c>
      <c r="F47" s="21">
        <f>IFERROR(VLOOKUP(A47,Kardex!$A$1:$K$1498,6,FALSE),"")</f>
        <v>0</v>
      </c>
      <c r="G47" s="21">
        <f>IFERROR(VLOOKUP(A47,Kardex!$A$1:$K$1498,7,FALSE),"")</f>
        <v>0</v>
      </c>
      <c r="H47" s="21" t="str">
        <f>IFERROR(VLOOKUP(A47,Kardex!$A$1:$K$1498,8,FALSE),"")</f>
        <v>un</v>
      </c>
      <c r="I47" s="45">
        <f>IFERROR(VLOOKUP($A47,Kardex!$A$1:$L$1498,9,FALSE),"")</f>
        <v>0</v>
      </c>
      <c r="J47" s="45">
        <f>IFERROR(VLOOKUP($A47,Kardex!$A$1:$L$1498,10,FALSE),"")</f>
        <v>6</v>
      </c>
      <c r="K47" s="45">
        <f>IFERROR(VLOOKUP($A47,Kardex!$A$1:$L$1498,11,FALSE),"")</f>
        <v>2</v>
      </c>
      <c r="L47" s="45">
        <f>IFERROR(VLOOKUP($A47,Kardex!$A$1:$L$1498,12,FALSE),"")</f>
        <v>4</v>
      </c>
    </row>
    <row r="48" spans="1:12" ht="12.75" customHeight="1" x14ac:dyDescent="0.2">
      <c r="A48" s="18">
        <v>47</v>
      </c>
      <c r="B48" s="19" t="str">
        <f>IF(IFERROR(VLOOKUP(A48,Kardex!$A$1:$K$1498,2,FALSE),"")=0,"",IFERROR(VLOOKUP(A48,Kardex!$A$1:$K$1498,2,FALSE),""))</f>
        <v/>
      </c>
      <c r="C48" s="19" t="str">
        <f>IFERROR(VLOOKUP(A48,Kardex!$A$1:$K$1498,3,FALSE),"")</f>
        <v>Perfil</v>
      </c>
      <c r="D48" s="20" t="str">
        <f>IFERROR(VLOOKUP(A48,Kardex!$A$1:$K$1498,4,FALSE),"")</f>
        <v>Tee techo falso</v>
      </c>
      <c r="E48" s="21" t="str">
        <f>IFERROR(VLOOKUP(A48,Kardex!$A$1:$K$1498,5,FALSE),"")</f>
        <v>Banco</v>
      </c>
      <c r="F48" s="21" t="str">
        <f>IFERROR(VLOOKUP(A48,Kardex!$A$1:$K$1498,6,FALSE),"")</f>
        <v>Blanco pintura</v>
      </c>
      <c r="G48" s="21">
        <f>IFERROR(VLOOKUP(A48,Kardex!$A$1:$K$1498,7,FALSE),"")</f>
        <v>0</v>
      </c>
      <c r="H48" s="21" t="str">
        <f>IFERROR(VLOOKUP(A48,Kardex!$A$1:$K$1498,8,FALSE),"")</f>
        <v>un</v>
      </c>
      <c r="I48" s="45">
        <f>IFERROR(VLOOKUP($A48,Kardex!$A$1:$L$1498,9,FALSE),"")</f>
        <v>1</v>
      </c>
      <c r="J48" s="45">
        <f>IFERROR(VLOOKUP($A48,Kardex!$A$1:$L$1498,10,FALSE),"")</f>
        <v>6</v>
      </c>
      <c r="K48" s="45">
        <f>IFERROR(VLOOKUP($A48,Kardex!$A$1:$L$1498,11,FALSE),"")</f>
        <v>0</v>
      </c>
      <c r="L48" s="45">
        <f>IFERROR(VLOOKUP($A48,Kardex!$A$1:$L$1498,12,FALSE),"")</f>
        <v>7</v>
      </c>
    </row>
    <row r="49" spans="1:12" ht="12.75" customHeight="1" x14ac:dyDescent="0.2">
      <c r="A49" s="18">
        <v>48</v>
      </c>
      <c r="B49" s="19" t="str">
        <f>IF(IFERROR(VLOOKUP(A49,Kardex!$A$1:$K$1498,2,FALSE),"")=0,"",IFERROR(VLOOKUP(A49,Kardex!$A$1:$K$1498,2,FALSE),""))</f>
        <v/>
      </c>
      <c r="C49" s="19" t="str">
        <f>IFERROR(VLOOKUP(A49,Kardex!$A$1:$K$1498,3,FALSE),"")</f>
        <v>Perfil</v>
      </c>
      <c r="D49" s="20" t="str">
        <f>IFERROR(VLOOKUP(A49,Kardex!$A$1:$K$1498,4,FALSE),"")</f>
        <v>Angulo  1-1/2X1/8</v>
      </c>
      <c r="E49" s="21" t="str">
        <f>IFERROR(VLOOKUP(A49,Kardex!$A$1:$K$1498,5,FALSE),"")</f>
        <v>Banco</v>
      </c>
      <c r="F49" s="21">
        <f>IFERROR(VLOOKUP(A49,Kardex!$A$1:$K$1498,6,FALSE),"")</f>
        <v>0</v>
      </c>
      <c r="G49" s="21">
        <f>IFERROR(VLOOKUP(A49,Kardex!$A$1:$K$1498,7,FALSE),"")</f>
        <v>0</v>
      </c>
      <c r="H49" s="21" t="str">
        <f>IFERROR(VLOOKUP(A49,Kardex!$A$1:$K$1498,8,FALSE),"")</f>
        <v>un</v>
      </c>
      <c r="I49" s="45">
        <f>IFERROR(VLOOKUP($A49,Kardex!$A$1:$L$1498,9,FALSE),"")</f>
        <v>0</v>
      </c>
      <c r="J49" s="45">
        <f>IFERROR(VLOOKUP($A49,Kardex!$A$1:$L$1498,10,FALSE),"")</f>
        <v>3</v>
      </c>
      <c r="K49" s="45">
        <f>IFERROR(VLOOKUP($A49,Kardex!$A$1:$L$1498,11,FALSE),"")</f>
        <v>2</v>
      </c>
      <c r="L49" s="45">
        <f>IFERROR(VLOOKUP($A49,Kardex!$A$1:$L$1498,12,FALSE),"")</f>
        <v>1</v>
      </c>
    </row>
    <row r="50" spans="1:12" ht="12.75" customHeight="1" x14ac:dyDescent="0.2">
      <c r="A50" s="18">
        <v>49</v>
      </c>
      <c r="B50" s="19" t="str">
        <f>IF(IFERROR(VLOOKUP(A50,Kardex!$A$1:$K$1498,2,FALSE),"")=0,"",IFERROR(VLOOKUP(A50,Kardex!$A$1:$K$1498,2,FALSE),""))</f>
        <v/>
      </c>
      <c r="C50" s="19" t="str">
        <f>IFERROR(VLOOKUP(A50,Kardex!$A$1:$K$1498,3,FALSE),"")</f>
        <v>Perfil</v>
      </c>
      <c r="D50" s="20" t="str">
        <f>IFERROR(VLOOKUP(A50,Kardex!$A$1:$K$1498,4,FALSE),"")</f>
        <v>Varilla 1/2</v>
      </c>
      <c r="E50" s="21" t="str">
        <f>IFERROR(VLOOKUP(A50,Kardex!$A$1:$K$1498,5,FALSE),"")</f>
        <v>Banco</v>
      </c>
      <c r="F50" s="21">
        <f>IFERROR(VLOOKUP(A50,Kardex!$A$1:$K$1498,6,FALSE),"")</f>
        <v>0</v>
      </c>
      <c r="G50" s="21">
        <f>IFERROR(VLOOKUP(A50,Kardex!$A$1:$K$1498,7,FALSE),"")</f>
        <v>0</v>
      </c>
      <c r="H50" s="21" t="str">
        <f>IFERROR(VLOOKUP(A50,Kardex!$A$1:$K$1498,8,FALSE),"")</f>
        <v>un</v>
      </c>
      <c r="I50" s="45">
        <f>IFERROR(VLOOKUP($A50,Kardex!$A$1:$L$1498,9,FALSE),"")</f>
        <v>1</v>
      </c>
      <c r="J50" s="45">
        <f>IFERROR(VLOOKUP($A50,Kardex!$A$1:$L$1498,10,FALSE),"")</f>
        <v>0</v>
      </c>
      <c r="K50" s="45">
        <f>IFERROR(VLOOKUP($A50,Kardex!$A$1:$L$1498,11,FALSE),"")</f>
        <v>0</v>
      </c>
      <c r="L50" s="45">
        <f>IFERROR(VLOOKUP($A50,Kardex!$A$1:$L$1498,12,FALSE),"")</f>
        <v>1</v>
      </c>
    </row>
    <row r="51" spans="1:12" ht="12.75" customHeight="1" x14ac:dyDescent="0.2">
      <c r="A51" s="18">
        <v>50</v>
      </c>
      <c r="B51" s="19" t="str">
        <f>IF(IFERROR(VLOOKUP(A51,Kardex!$A$1:$K$1498,2,FALSE),"")=0,"",IFERROR(VLOOKUP(A51,Kardex!$A$1:$K$1498,2,FALSE),""))</f>
        <v/>
      </c>
      <c r="C51" s="19" t="str">
        <f>IFERROR(VLOOKUP(A51,Kardex!$A$1:$K$1498,3,FALSE),"")</f>
        <v>Perfil</v>
      </c>
      <c r="D51" s="20" t="str">
        <f>IFERROR(VLOOKUP(A51,Kardex!$A$1:$K$1498,4,FALSE),"")</f>
        <v>Perfil F</v>
      </c>
      <c r="E51" s="21" t="str">
        <f>IFERROR(VLOOKUP(A51,Kardex!$A$1:$K$1498,5,FALSE),"")</f>
        <v>Banco</v>
      </c>
      <c r="F51" s="21">
        <f>IFERROR(VLOOKUP(A51,Kardex!$A$1:$K$1498,6,FALSE),"")</f>
        <v>0</v>
      </c>
      <c r="G51" s="21">
        <f>IFERROR(VLOOKUP(A51,Kardex!$A$1:$K$1498,7,FALSE),"")</f>
        <v>0</v>
      </c>
      <c r="H51" s="21" t="str">
        <f>IFERROR(VLOOKUP(A51,Kardex!$A$1:$K$1498,8,FALSE),"")</f>
        <v>un</v>
      </c>
      <c r="I51" s="45">
        <f>IFERROR(VLOOKUP($A51,Kardex!$A$1:$L$1498,9,FALSE),"")</f>
        <v>2</v>
      </c>
      <c r="J51" s="45">
        <f>IFERROR(VLOOKUP($A51,Kardex!$A$1:$L$1498,10,FALSE),"")</f>
        <v>0</v>
      </c>
      <c r="K51" s="45">
        <f>IFERROR(VLOOKUP($A51,Kardex!$A$1:$L$1498,11,FALSE),"")</f>
        <v>0</v>
      </c>
      <c r="L51" s="45">
        <f>IFERROR(VLOOKUP($A51,Kardex!$A$1:$L$1498,12,FALSE),"")</f>
        <v>2</v>
      </c>
    </row>
    <row r="52" spans="1:12" ht="12.75" customHeight="1" x14ac:dyDescent="0.2">
      <c r="A52" s="18">
        <v>51</v>
      </c>
      <c r="B52" s="19" t="str">
        <f>IF(IFERROR(VLOOKUP(A52,Kardex!$A$1:$K$1498,2,FALSE),"")=0,"",IFERROR(VLOOKUP(A52,Kardex!$A$1:$K$1498,2,FALSE),""))</f>
        <v/>
      </c>
      <c r="C52" s="19" t="str">
        <f>IFERROR(VLOOKUP(A52,Kardex!$A$1:$K$1498,3,FALSE),"")</f>
        <v>Perfil</v>
      </c>
      <c r="D52" s="20" t="str">
        <f>IFERROR(VLOOKUP(A52,Kardex!$A$1:$K$1498,4,FALSE),"")</f>
        <v>Perfil U de remate</v>
      </c>
      <c r="E52" s="21" t="str">
        <f>IFERROR(VLOOKUP(A52,Kardex!$A$1:$K$1498,5,FALSE),"")</f>
        <v>Banco</v>
      </c>
      <c r="F52" s="21">
        <f>IFERROR(VLOOKUP(A52,Kardex!$A$1:$K$1498,6,FALSE),"")</f>
        <v>0</v>
      </c>
      <c r="G52" s="21">
        <f>IFERROR(VLOOKUP(A52,Kardex!$A$1:$K$1498,7,FALSE),"")</f>
        <v>0</v>
      </c>
      <c r="H52" s="21" t="str">
        <f>IFERROR(VLOOKUP(A52,Kardex!$A$1:$K$1498,8,FALSE),"")</f>
        <v>un</v>
      </c>
      <c r="I52" s="45">
        <f>IFERROR(VLOOKUP($A52,Kardex!$A$1:$L$1498,9,FALSE),"")</f>
        <v>2</v>
      </c>
      <c r="J52" s="45">
        <f>IFERROR(VLOOKUP($A52,Kardex!$A$1:$L$1498,10,FALSE),"")</f>
        <v>0</v>
      </c>
      <c r="K52" s="45">
        <f>IFERROR(VLOOKUP($A52,Kardex!$A$1:$L$1498,11,FALSE),"")</f>
        <v>0</v>
      </c>
      <c r="L52" s="45">
        <f>IFERROR(VLOOKUP($A52,Kardex!$A$1:$L$1498,12,FALSE),"")</f>
        <v>2</v>
      </c>
    </row>
    <row r="53" spans="1:12" ht="12.75" customHeight="1" x14ac:dyDescent="0.2">
      <c r="A53" s="18">
        <v>52</v>
      </c>
      <c r="B53" s="19" t="str">
        <f>IF(IFERROR(VLOOKUP(A53,Kardex!$A$1:$K$1498,2,FALSE),"")=0,"",IFERROR(VLOOKUP(A53,Kardex!$A$1:$K$1498,2,FALSE),""))</f>
        <v/>
      </c>
      <c r="C53" s="19" t="str">
        <f>IFERROR(VLOOKUP(A53,Kardex!$A$1:$K$1498,3,FALSE),"")</f>
        <v>Perfil</v>
      </c>
      <c r="D53" s="20" t="str">
        <f>IFERROR(VLOOKUP(A53,Kardex!$A$1:$K$1498,4,FALSE),"")</f>
        <v>Riel o cabezal para division de baño</v>
      </c>
      <c r="E53" s="21" t="str">
        <f>IFERROR(VLOOKUP(A53,Kardex!$A$1:$K$1498,5,FALSE),"")</f>
        <v>Banco</v>
      </c>
      <c r="F53" s="21">
        <f>IFERROR(VLOOKUP(A53,Kardex!$A$1:$K$1498,6,FALSE),"")</f>
        <v>0</v>
      </c>
      <c r="G53" s="21">
        <f>IFERROR(VLOOKUP(A53,Kardex!$A$1:$K$1498,7,FALSE),"")</f>
        <v>0</v>
      </c>
      <c r="H53" s="21" t="str">
        <f>IFERROR(VLOOKUP(A53,Kardex!$A$1:$K$1498,8,FALSE),"")</f>
        <v>un</v>
      </c>
      <c r="I53" s="45">
        <f>IFERROR(VLOOKUP($A53,Kardex!$A$1:$L$1498,9,FALSE),"")</f>
        <v>1</v>
      </c>
      <c r="J53" s="45">
        <f>IFERROR(VLOOKUP($A53,Kardex!$A$1:$L$1498,10,FALSE),"")</f>
        <v>2</v>
      </c>
      <c r="K53" s="45">
        <f>IFERROR(VLOOKUP($A53,Kardex!$A$1:$L$1498,11,FALSE),"")</f>
        <v>1</v>
      </c>
      <c r="L53" s="45">
        <f>IFERROR(VLOOKUP($A53,Kardex!$A$1:$L$1498,12,FALSE),"")</f>
        <v>2</v>
      </c>
    </row>
    <row r="54" spans="1:12" ht="12.75" customHeight="1" x14ac:dyDescent="0.2">
      <c r="A54" s="18">
        <v>53</v>
      </c>
      <c r="B54" s="19" t="str">
        <f>IF(IFERROR(VLOOKUP(A54,Kardex!$A$1:$K$1498,2,FALSE),"")=0,"",IFERROR(VLOOKUP(A54,Kardex!$A$1:$K$1498,2,FALSE),""))</f>
        <v/>
      </c>
      <c r="C54" s="19" t="str">
        <f>IFERROR(VLOOKUP(A54,Kardex!$A$1:$K$1498,3,FALSE),"")</f>
        <v>Perfil</v>
      </c>
      <c r="D54" s="20" t="str">
        <f>IFERROR(VLOOKUP(A54,Kardex!$A$1:$K$1498,4,FALSE),"")</f>
        <v>canal con aleta descentrada (3X1)" (72,6X37,4) mm</v>
      </c>
      <c r="E54" s="21" t="str">
        <f>IFERROR(VLOOKUP(A54,Kardex!$A$1:$K$1498,5,FALSE),"")</f>
        <v>Banco</v>
      </c>
      <c r="F54" s="21" t="str">
        <f>IFERROR(VLOOKUP(A54,Kardex!$A$1:$K$1498,6,FALSE),"")</f>
        <v>Blanco pintura</v>
      </c>
      <c r="G54" s="21">
        <f>IFERROR(VLOOKUP(A54,Kardex!$A$1:$K$1498,7,FALSE),"")</f>
        <v>0</v>
      </c>
      <c r="H54" s="21" t="str">
        <f>IFERROR(VLOOKUP(A54,Kardex!$A$1:$K$1498,8,FALSE),"")</f>
        <v>un</v>
      </c>
      <c r="I54" s="45">
        <f>IFERROR(VLOOKUP($A54,Kardex!$A$1:$L$1498,9,FALSE),"")</f>
        <v>20</v>
      </c>
      <c r="J54" s="45">
        <f>IFERROR(VLOOKUP($A54,Kardex!$A$1:$L$1498,10,FALSE),"")</f>
        <v>0</v>
      </c>
      <c r="K54" s="45">
        <f>IFERROR(VLOOKUP($A54,Kardex!$A$1:$L$1498,11,FALSE),"")</f>
        <v>2</v>
      </c>
      <c r="L54" s="45">
        <f>IFERROR(VLOOKUP($A54,Kardex!$A$1:$L$1498,12,FALSE),"")</f>
        <v>18</v>
      </c>
    </row>
    <row r="55" spans="1:12" ht="12.75" customHeight="1" x14ac:dyDescent="0.2">
      <c r="A55" s="18">
        <v>54</v>
      </c>
      <c r="B55" s="19" t="str">
        <f>IF(IFERROR(VLOOKUP(A55,Kardex!$A$1:$K$1498,2,FALSE),"")=0,"",IFERROR(VLOOKUP(A55,Kardex!$A$1:$K$1498,2,FALSE),""))</f>
        <v/>
      </c>
      <c r="C55" s="19" t="str">
        <f>IFERROR(VLOOKUP(A55,Kardex!$A$1:$K$1498,3,FALSE),"")</f>
        <v>Perfil</v>
      </c>
      <c r="D55" s="20" t="str">
        <f>IFERROR(VLOOKUP(A55,Kardex!$A$1:$K$1498,4,FALSE),"")</f>
        <v>Tubular 1X1</v>
      </c>
      <c r="E55" s="21" t="str">
        <f>IFERROR(VLOOKUP(A55,Kardex!$A$1:$K$1498,5,FALSE),"")</f>
        <v>Banco</v>
      </c>
      <c r="F55" s="21" t="str">
        <f>IFERROR(VLOOKUP(A55,Kardex!$A$1:$K$1498,6,FALSE),"")</f>
        <v>Blanco pintura</v>
      </c>
      <c r="G55" s="21">
        <f>IFERROR(VLOOKUP(A55,Kardex!$A$1:$K$1498,7,FALSE),"")</f>
        <v>0</v>
      </c>
      <c r="H55" s="21" t="str">
        <f>IFERROR(VLOOKUP(A55,Kardex!$A$1:$K$1498,8,FALSE),"")</f>
        <v>un</v>
      </c>
      <c r="I55" s="45">
        <f>IFERROR(VLOOKUP($A55,Kardex!$A$1:$L$1498,9,FALSE),"")</f>
        <v>1</v>
      </c>
      <c r="J55" s="45">
        <f>IFERROR(VLOOKUP($A55,Kardex!$A$1:$L$1498,10,FALSE),"")</f>
        <v>0</v>
      </c>
      <c r="K55" s="45">
        <f>IFERROR(VLOOKUP($A55,Kardex!$A$1:$L$1498,11,FALSE),"")</f>
        <v>0</v>
      </c>
      <c r="L55" s="45">
        <f>IFERROR(VLOOKUP($A55,Kardex!$A$1:$L$1498,12,FALSE),"")</f>
        <v>1</v>
      </c>
    </row>
    <row r="56" spans="1:12" ht="12.75" customHeight="1" x14ac:dyDescent="0.2">
      <c r="A56" s="18">
        <v>55</v>
      </c>
      <c r="B56" s="19" t="str">
        <f>IF(IFERROR(VLOOKUP(A56,Kardex!$A$1:$K$1498,2,FALSE),"")=0,"",IFERROR(VLOOKUP(A56,Kardex!$A$1:$K$1498,2,FALSE),""))</f>
        <v/>
      </c>
      <c r="C56" s="19" t="str">
        <f>IFERROR(VLOOKUP(A56,Kardex!$A$1:$K$1498,3,FALSE),"")</f>
        <v>Perfil</v>
      </c>
      <c r="D56" s="20" t="str">
        <f>IFERROR(VLOOKUP(A56,Kardex!$A$1:$K$1498,4,FALSE),"")</f>
        <v>Celosia</v>
      </c>
      <c r="E56" s="21" t="str">
        <f>IFERROR(VLOOKUP(A56,Kardex!$A$1:$K$1498,5,FALSE),"")</f>
        <v>Banco</v>
      </c>
      <c r="F56" s="21" t="str">
        <f>IFERROR(VLOOKUP(A56,Kardex!$A$1:$K$1498,6,FALSE),"")</f>
        <v>Blanco pintura</v>
      </c>
      <c r="G56" s="21">
        <f>IFERROR(VLOOKUP(A56,Kardex!$A$1:$K$1498,7,FALSE),"")</f>
        <v>0</v>
      </c>
      <c r="H56" s="21" t="str">
        <f>IFERROR(VLOOKUP(A56,Kardex!$A$1:$K$1498,8,FALSE),"")</f>
        <v>un</v>
      </c>
      <c r="I56" s="45">
        <f>IFERROR(VLOOKUP($A56,Kardex!$A$1:$L$1498,9,FALSE),"")</f>
        <v>18</v>
      </c>
      <c r="J56" s="45">
        <f>IFERROR(VLOOKUP($A56,Kardex!$A$1:$L$1498,10,FALSE),"")</f>
        <v>0</v>
      </c>
      <c r="K56" s="45">
        <f>IFERROR(VLOOKUP($A56,Kardex!$A$1:$L$1498,11,FALSE),"")</f>
        <v>0</v>
      </c>
      <c r="L56" s="45">
        <f>IFERROR(VLOOKUP($A56,Kardex!$A$1:$L$1498,12,FALSE),"")</f>
        <v>18</v>
      </c>
    </row>
    <row r="57" spans="1:12" ht="12.75" customHeight="1" x14ac:dyDescent="0.2">
      <c r="A57" s="18">
        <v>56</v>
      </c>
      <c r="B57" s="19" t="str">
        <f>IF(IFERROR(VLOOKUP(A57,Kardex!$A$1:$K$1498,2,FALSE),"")=0,"",IFERROR(VLOOKUP(A57,Kardex!$A$1:$K$1498,2,FALSE),""))</f>
        <v/>
      </c>
      <c r="C57" s="19" t="str">
        <f>IFERROR(VLOOKUP(A57,Kardex!$A$1:$K$1498,3,FALSE),"")</f>
        <v>Perfil</v>
      </c>
      <c r="D57" s="20" t="str">
        <f>IFERROR(VLOOKUP(A57,Kardex!$A$1:$K$1498,4,FALSE),"")</f>
        <v>Tubular (1"X1") con una aleta</v>
      </c>
      <c r="E57" s="21" t="str">
        <f>IFERROR(VLOOKUP(A57,Kardex!$A$1:$K$1498,5,FALSE),"")</f>
        <v>Banco</v>
      </c>
      <c r="F57" s="21" t="str">
        <f>IFERROR(VLOOKUP(A57,Kardex!$A$1:$K$1498,6,FALSE),"")</f>
        <v>Blanco pintura</v>
      </c>
      <c r="G57" s="21">
        <f>IFERROR(VLOOKUP(A57,Kardex!$A$1:$K$1498,7,FALSE),"")</f>
        <v>0</v>
      </c>
      <c r="H57" s="21" t="str">
        <f>IFERROR(VLOOKUP(A57,Kardex!$A$1:$K$1498,8,FALSE),"")</f>
        <v>un</v>
      </c>
      <c r="I57" s="45">
        <f>IFERROR(VLOOKUP($A57,Kardex!$A$1:$L$1498,9,FALSE),"")</f>
        <v>9</v>
      </c>
      <c r="J57" s="45">
        <f>IFERROR(VLOOKUP($A57,Kardex!$A$1:$L$1498,10,FALSE),"")</f>
        <v>0</v>
      </c>
      <c r="K57" s="45">
        <f>IFERROR(VLOOKUP($A57,Kardex!$A$1:$L$1498,11,FALSE),"")</f>
        <v>2</v>
      </c>
      <c r="L57" s="45">
        <f>IFERROR(VLOOKUP($A57,Kardex!$A$1:$L$1498,12,FALSE),"")</f>
        <v>7</v>
      </c>
    </row>
    <row r="58" spans="1:12" ht="12.75" customHeight="1" x14ac:dyDescent="0.2">
      <c r="A58" s="18">
        <v>57</v>
      </c>
      <c r="B58" s="19" t="str">
        <f>IF(IFERROR(VLOOKUP(A58,Kardex!$A$1:$K$1498,2,FALSE),"")=0,"",IFERROR(VLOOKUP(A58,Kardex!$A$1:$K$1498,2,FALSE),""))</f>
        <v/>
      </c>
      <c r="C58" s="19" t="str">
        <f>IFERROR(VLOOKUP(A58,Kardex!$A$1:$K$1498,3,FALSE),"")</f>
        <v>Empaque</v>
      </c>
      <c r="D58" s="20" t="str">
        <f>IFERROR(VLOOKUP(A58,Kardex!$A$1:$K$1498,4,FALSE),"")</f>
        <v>Empaque U de 4mm</v>
      </c>
      <c r="E58" s="21" t="str">
        <f>IFERROR(VLOOKUP(A58,Kardex!$A$1:$K$1498,5,FALSE),"")</f>
        <v>Ar. Negro</v>
      </c>
      <c r="F58" s="21">
        <f>IFERROR(VLOOKUP(A58,Kardex!$A$1:$K$1498,6,FALSE),"")</f>
        <v>0</v>
      </c>
      <c r="G58" s="21">
        <f>IFERROR(VLOOKUP(A58,Kardex!$A$1:$K$1498,7,FALSE),"")</f>
        <v>0</v>
      </c>
      <c r="H58" s="21" t="str">
        <f>IFERROR(VLOOKUP(A58,Kardex!$A$1:$K$1498,8,FALSE),"")</f>
        <v>m</v>
      </c>
      <c r="I58" s="45">
        <f>IFERROR(VLOOKUP($A58,Kardex!$A$1:$L$1498,9,FALSE),"")</f>
        <v>11</v>
      </c>
      <c r="J58" s="45">
        <f>IFERROR(VLOOKUP($A58,Kardex!$A$1:$L$1498,10,FALSE),"")</f>
        <v>0</v>
      </c>
      <c r="K58" s="45">
        <f>IFERROR(VLOOKUP($A58,Kardex!$A$1:$L$1498,11,FALSE),"")</f>
        <v>0</v>
      </c>
      <c r="L58" s="45">
        <f>IFERROR(VLOOKUP($A58,Kardex!$A$1:$L$1498,12,FALSE),"")</f>
        <v>11</v>
      </c>
    </row>
    <row r="59" spans="1:12" ht="12.75" customHeight="1" x14ac:dyDescent="0.2">
      <c r="A59" s="18">
        <v>58</v>
      </c>
      <c r="B59" s="19" t="str">
        <f>IF(IFERROR(VLOOKUP(A59,Kardex!$A$1:$K$1498,2,FALSE),"")=0,"",IFERROR(VLOOKUP(A59,Kardex!$A$1:$K$1498,2,FALSE),""))</f>
        <v/>
      </c>
      <c r="C59" s="19" t="str">
        <f>IFERROR(VLOOKUP(A59,Kardex!$A$1:$K$1498,3,FALSE),"")</f>
        <v>Empaque</v>
      </c>
      <c r="D59" s="20" t="str">
        <f>IFERROR(VLOOKUP(A59,Kardex!$A$1:$K$1498,4,FALSE),"")</f>
        <v>Felpa</v>
      </c>
      <c r="E59" s="21" t="str">
        <f>IFERROR(VLOOKUP(A59,Kardex!$A$1:$K$1498,5,FALSE),"")</f>
        <v>Ar. Blanco</v>
      </c>
      <c r="F59" s="21">
        <f>IFERROR(VLOOKUP(A59,Kardex!$A$1:$K$1498,6,FALSE),"")</f>
        <v>0</v>
      </c>
      <c r="G59" s="21">
        <f>IFERROR(VLOOKUP(A59,Kardex!$A$1:$K$1498,7,FALSE),"")</f>
        <v>0</v>
      </c>
      <c r="H59" s="21" t="str">
        <f>IFERROR(VLOOKUP(A59,Kardex!$A$1:$K$1498,8,FALSE),"")</f>
        <v>m</v>
      </c>
      <c r="I59" s="45">
        <f>IFERROR(VLOOKUP($A59,Kardex!$A$1:$L$1498,9,FALSE),"")</f>
        <v>4.6500000000000004</v>
      </c>
      <c r="J59" s="45">
        <f>IFERROR(VLOOKUP($A59,Kardex!$A$1:$L$1498,10,FALSE),"")</f>
        <v>0</v>
      </c>
      <c r="K59" s="45">
        <f>IFERROR(VLOOKUP($A59,Kardex!$A$1:$L$1498,11,FALSE),"")</f>
        <v>0</v>
      </c>
      <c r="L59" s="45">
        <f>IFERROR(VLOOKUP($A59,Kardex!$A$1:$L$1498,12,FALSE),"")</f>
        <v>4.6500000000000004</v>
      </c>
    </row>
    <row r="60" spans="1:12" ht="12.75" customHeight="1" x14ac:dyDescent="0.2">
      <c r="A60" s="18">
        <v>59</v>
      </c>
      <c r="B60" s="19" t="str">
        <f>IF(IFERROR(VLOOKUP(A60,Kardex!$A$1:$K$1498,2,FALSE),"")=0,"",IFERROR(VLOOKUP(A60,Kardex!$A$1:$K$1498,2,FALSE),""))</f>
        <v/>
      </c>
      <c r="C60" s="19" t="str">
        <f>IFERROR(VLOOKUP(A60,Kardex!$A$1:$K$1498,3,FALSE),"")</f>
        <v>Empaque</v>
      </c>
      <c r="D60" s="20" t="str">
        <f>IFERROR(VLOOKUP(A60,Kardex!$A$1:$K$1498,4,FALSE),"")</f>
        <v>Empaque perfil cuña persion 3831 4mm Ck373</v>
      </c>
      <c r="E60" s="21" t="str">
        <f>IFERROR(VLOOKUP(A60,Kardex!$A$1:$K$1498,5,FALSE),"")</f>
        <v>Ar. Blanco</v>
      </c>
      <c r="F60" s="21">
        <f>IFERROR(VLOOKUP(A60,Kardex!$A$1:$K$1498,6,FALSE),"")</f>
        <v>0</v>
      </c>
      <c r="G60" s="21">
        <f>IFERROR(VLOOKUP(A60,Kardex!$A$1:$K$1498,7,FALSE),"")</f>
        <v>0</v>
      </c>
      <c r="H60" s="21" t="str">
        <f>IFERROR(VLOOKUP(A60,Kardex!$A$1:$K$1498,8,FALSE),"")</f>
        <v>m</v>
      </c>
      <c r="I60" s="45">
        <f>IFERROR(VLOOKUP($A60,Kardex!$A$1:$L$1498,9,FALSE),"")</f>
        <v>0</v>
      </c>
      <c r="J60" s="45">
        <f>IFERROR(VLOOKUP($A60,Kardex!$A$1:$L$1498,10,FALSE),"")</f>
        <v>200</v>
      </c>
      <c r="K60" s="45">
        <f>IFERROR(VLOOKUP($A60,Kardex!$A$1:$L$1498,11,FALSE),"")</f>
        <v>122.82000000000001</v>
      </c>
      <c r="L60" s="45">
        <f>IFERROR(VLOOKUP($A60,Kardex!$A$1:$L$1498,12,FALSE),"")</f>
        <v>77.179999999999993</v>
      </c>
    </row>
    <row r="61" spans="1:12" ht="12.75" customHeight="1" x14ac:dyDescent="0.2">
      <c r="A61" s="18">
        <v>60</v>
      </c>
      <c r="B61" s="19" t="str">
        <f>IF(IFERROR(VLOOKUP(A61,Kardex!$A$1:$K$1498,2,FALSE),"")=0,"",IFERROR(VLOOKUP(A61,Kardex!$A$1:$K$1498,2,FALSE),""))</f>
        <v/>
      </c>
      <c r="C61" s="19" t="str">
        <f>IFERROR(VLOOKUP(A61,Kardex!$A$1:$K$1498,3,FALSE),"")</f>
        <v>Empaque</v>
      </c>
      <c r="D61" s="20" t="str">
        <f>IFERROR(VLOOKUP(A61,Kardex!$A$1:$K$1498,4,FALSE),"")</f>
        <v>Empaque spaguetti o estrella 5,7mm</v>
      </c>
      <c r="E61" s="21" t="str">
        <f>IFERROR(VLOOKUP(A61,Kardex!$A$1:$K$1498,5,FALSE),"")</f>
        <v>Ar. Blanco</v>
      </c>
      <c r="F61" s="21">
        <f>IFERROR(VLOOKUP(A61,Kardex!$A$1:$K$1498,6,FALSE),"")</f>
        <v>0</v>
      </c>
      <c r="G61" s="21">
        <f>IFERROR(VLOOKUP(A61,Kardex!$A$1:$K$1498,7,FALSE),"")</f>
        <v>0</v>
      </c>
      <c r="H61" s="21" t="str">
        <f>IFERROR(VLOOKUP(A61,Kardex!$A$1:$K$1498,8,FALSE),"")</f>
        <v>m</v>
      </c>
      <c r="I61" s="45">
        <f>IFERROR(VLOOKUP($A61,Kardex!$A$1:$L$1498,9,FALSE),"")</f>
        <v>0</v>
      </c>
      <c r="J61" s="45">
        <f>IFERROR(VLOOKUP($A61,Kardex!$A$1:$L$1498,10,FALSE),"")</f>
        <v>200</v>
      </c>
      <c r="K61" s="45">
        <f>IFERROR(VLOOKUP($A61,Kardex!$A$1:$L$1498,11,FALSE),"")</f>
        <v>5.4</v>
      </c>
      <c r="L61" s="45">
        <f>IFERROR(VLOOKUP($A61,Kardex!$A$1:$L$1498,12,FALSE),"")</f>
        <v>194.6</v>
      </c>
    </row>
    <row r="62" spans="1:12" ht="12.75" customHeight="1" x14ac:dyDescent="0.2">
      <c r="A62" s="18">
        <v>61</v>
      </c>
      <c r="B62" s="19" t="str">
        <f>IF(IFERROR(VLOOKUP(A62,Kardex!$A$1:$K$1498,2,FALSE),"")=0,"",IFERROR(VLOOKUP(A62,Kardex!$A$1:$K$1498,2,FALSE),""))</f>
        <v/>
      </c>
      <c r="C62" s="19" t="str">
        <f>IFERROR(VLOOKUP(A62,Kardex!$A$1:$K$1498,3,FALSE),"")</f>
        <v>Tornillos</v>
      </c>
      <c r="D62" s="20" t="str">
        <f>IFERROR(VLOOKUP(A62,Kardex!$A$1:$K$1498,4,FALSE),"")</f>
        <v>Tornillos No. 10X2-1/2" cabeza PAN</v>
      </c>
      <c r="E62" s="21" t="str">
        <f>IFERROR(VLOOKUP(A62,Kardex!$A$1:$K$1498,5,FALSE),"")</f>
        <v>Ar. Blanco</v>
      </c>
      <c r="F62" s="21">
        <f>IFERROR(VLOOKUP(A62,Kardex!$A$1:$K$1498,6,FALSE),"")</f>
        <v>0</v>
      </c>
      <c r="G62" s="21">
        <f>IFERROR(VLOOKUP(A62,Kardex!$A$1:$K$1498,7,FALSE),"")</f>
        <v>0</v>
      </c>
      <c r="H62" s="21" t="str">
        <f>IFERROR(VLOOKUP(A62,Kardex!$A$1:$K$1498,8,FALSE),"")</f>
        <v>un</v>
      </c>
      <c r="I62" s="45">
        <f>IFERROR(VLOOKUP($A62,Kardex!$A$1:$L$1498,9,FALSE),"")</f>
        <v>110</v>
      </c>
      <c r="J62" s="45">
        <f>IFERROR(VLOOKUP($A62,Kardex!$A$1:$L$1498,10,FALSE),"")</f>
        <v>0</v>
      </c>
      <c r="K62" s="45">
        <f>IFERROR(VLOOKUP($A62,Kardex!$A$1:$L$1498,11,FALSE),"")</f>
        <v>0</v>
      </c>
      <c r="L62" s="45">
        <f>IFERROR(VLOOKUP($A62,Kardex!$A$1:$L$1498,12,FALSE),"")</f>
        <v>110</v>
      </c>
    </row>
    <row r="63" spans="1:12" ht="12.75" customHeight="1" x14ac:dyDescent="0.2">
      <c r="A63" s="18">
        <v>62</v>
      </c>
      <c r="B63" s="19" t="str">
        <f>IF(IFERROR(VLOOKUP(A63,Kardex!$A$1:$K$1498,2,FALSE),"")=0,"",IFERROR(VLOOKUP(A63,Kardex!$A$1:$K$1498,2,FALSE),""))</f>
        <v/>
      </c>
      <c r="C63" s="19" t="str">
        <f>IFERROR(VLOOKUP(A63,Kardex!$A$1:$K$1498,3,FALSE),"")</f>
        <v>Tornillos</v>
      </c>
      <c r="D63" s="20" t="str">
        <f>IFERROR(VLOOKUP(A63,Kardex!$A$1:$K$1498,4,FALSE),"")</f>
        <v>Tornillos No. 8X1-1/4" cabeza PAN</v>
      </c>
      <c r="E63" s="21" t="str">
        <f>IFERROR(VLOOKUP(A63,Kardex!$A$1:$K$1498,5,FALSE),"")</f>
        <v>Ar. Blanco</v>
      </c>
      <c r="F63" s="21">
        <f>IFERROR(VLOOKUP(A63,Kardex!$A$1:$K$1498,6,FALSE),"")</f>
        <v>0</v>
      </c>
      <c r="G63" s="21">
        <f>IFERROR(VLOOKUP(A63,Kardex!$A$1:$K$1498,7,FALSE),"")</f>
        <v>0</v>
      </c>
      <c r="H63" s="21" t="str">
        <f>IFERROR(VLOOKUP(A63,Kardex!$A$1:$K$1498,8,FALSE),"")</f>
        <v>un</v>
      </c>
      <c r="I63" s="45">
        <f>IFERROR(VLOOKUP($A63,Kardex!$A$1:$L$1498,9,FALSE),"")</f>
        <v>110</v>
      </c>
      <c r="J63" s="45">
        <f>IFERROR(VLOOKUP($A63,Kardex!$A$1:$L$1498,10,FALSE),"")</f>
        <v>0</v>
      </c>
      <c r="K63" s="45">
        <f>IFERROR(VLOOKUP($A63,Kardex!$A$1:$L$1498,11,FALSE),"")</f>
        <v>0</v>
      </c>
      <c r="L63" s="45">
        <f>IFERROR(VLOOKUP($A63,Kardex!$A$1:$L$1498,12,FALSE),"")</f>
        <v>110</v>
      </c>
    </row>
    <row r="64" spans="1:12" ht="12.75" customHeight="1" x14ac:dyDescent="0.2">
      <c r="A64" s="18">
        <v>63</v>
      </c>
      <c r="B64" s="19" t="str">
        <f>IF(IFERROR(VLOOKUP(A64,Kardex!$A$1:$K$1498,2,FALSE),"")=0,"",IFERROR(VLOOKUP(A64,Kardex!$A$1:$K$1498,2,FALSE),""))</f>
        <v/>
      </c>
      <c r="C64" s="19" t="str">
        <f>IFERROR(VLOOKUP(A64,Kardex!$A$1:$K$1498,3,FALSE),"")</f>
        <v>Tornillos</v>
      </c>
      <c r="D64" s="20" t="str">
        <f>IFERROR(VLOOKUP(A64,Kardex!$A$1:$K$1498,4,FALSE),"")</f>
        <v>Tornillos No. 8X1" cabeza PAN</v>
      </c>
      <c r="E64" s="21" t="str">
        <f>IFERROR(VLOOKUP(A64,Kardex!$A$1:$K$1498,5,FALSE),"")</f>
        <v>Ar. Blanco</v>
      </c>
      <c r="F64" s="21">
        <f>IFERROR(VLOOKUP(A64,Kardex!$A$1:$K$1498,6,FALSE),"")</f>
        <v>0</v>
      </c>
      <c r="G64" s="21">
        <f>IFERROR(VLOOKUP(A64,Kardex!$A$1:$K$1498,7,FALSE),"")</f>
        <v>0</v>
      </c>
      <c r="H64" s="21" t="str">
        <f>IFERROR(VLOOKUP(A64,Kardex!$A$1:$K$1498,8,FALSE),"")</f>
        <v>un</v>
      </c>
      <c r="I64" s="45">
        <f>IFERROR(VLOOKUP($A64,Kardex!$A$1:$L$1498,9,FALSE),"")</f>
        <v>22</v>
      </c>
      <c r="J64" s="45">
        <f>IFERROR(VLOOKUP($A64,Kardex!$A$1:$L$1498,10,FALSE),"")</f>
        <v>2000</v>
      </c>
      <c r="K64" s="45">
        <f>IFERROR(VLOOKUP($A64,Kardex!$A$1:$L$1498,11,FALSE),"")</f>
        <v>1222</v>
      </c>
      <c r="L64" s="45">
        <f>IFERROR(VLOOKUP($A64,Kardex!$A$1:$L$1498,12,FALSE),"")</f>
        <v>800</v>
      </c>
    </row>
    <row r="65" spans="1:12" ht="12.75" customHeight="1" x14ac:dyDescent="0.2">
      <c r="A65" s="18">
        <v>64</v>
      </c>
      <c r="B65" s="19" t="str">
        <f>IF(IFERROR(VLOOKUP(A65,Kardex!$A$1:$K$1498,2,FALSE),"")=0,"",IFERROR(VLOOKUP(A65,Kardex!$A$1:$K$1498,2,FALSE),""))</f>
        <v/>
      </c>
      <c r="C65" s="19" t="str">
        <f>IFERROR(VLOOKUP(A65,Kardex!$A$1:$K$1498,3,FALSE),"")</f>
        <v>Tornillos</v>
      </c>
      <c r="D65" s="20" t="str">
        <f>IFERROR(VLOOKUP(A65,Kardex!$A$1:$K$1498,4,FALSE),"")</f>
        <v>Tornillos No. 8X1/2" cabeza PAN</v>
      </c>
      <c r="E65" s="21" t="str">
        <f>IFERROR(VLOOKUP(A65,Kardex!$A$1:$K$1498,5,FALSE),"")</f>
        <v>Ar. Blanco</v>
      </c>
      <c r="F65" s="21">
        <f>IFERROR(VLOOKUP(A65,Kardex!$A$1:$K$1498,6,FALSE),"")</f>
        <v>0</v>
      </c>
      <c r="G65" s="21">
        <f>IFERROR(VLOOKUP(A65,Kardex!$A$1:$K$1498,7,FALSE),"")</f>
        <v>0</v>
      </c>
      <c r="H65" s="21" t="str">
        <f>IFERROR(VLOOKUP(A65,Kardex!$A$1:$K$1498,8,FALSE),"")</f>
        <v>un</v>
      </c>
      <c r="I65" s="45">
        <f>IFERROR(VLOOKUP($A65,Kardex!$A$1:$L$1498,9,FALSE),"")</f>
        <v>0</v>
      </c>
      <c r="J65" s="45">
        <f>IFERROR(VLOOKUP($A65,Kardex!$A$1:$L$1498,10,FALSE),"")</f>
        <v>1000</v>
      </c>
      <c r="K65" s="45">
        <f>IFERROR(VLOOKUP($A65,Kardex!$A$1:$L$1498,11,FALSE),"")</f>
        <v>300</v>
      </c>
      <c r="L65" s="45">
        <f>IFERROR(VLOOKUP($A65,Kardex!$A$1:$L$1498,12,FALSE),"")</f>
        <v>700</v>
      </c>
    </row>
    <row r="66" spans="1:12" ht="12.75" customHeight="1" x14ac:dyDescent="0.2">
      <c r="A66" s="18">
        <v>65</v>
      </c>
      <c r="B66" s="19" t="str">
        <f>IF(IFERROR(VLOOKUP(A66,Kardex!$A$1:$K$1498,2,FALSE),"")=0,"",IFERROR(VLOOKUP(A66,Kardex!$A$1:$K$1498,2,FALSE),""))</f>
        <v/>
      </c>
      <c r="C66" s="19" t="str">
        <f>IFERROR(VLOOKUP(A66,Kardex!$A$1:$K$1498,3,FALSE),"")</f>
        <v>Tornillos</v>
      </c>
      <c r="D66" s="20" t="str">
        <f>IFERROR(VLOOKUP(A66,Kardex!$A$1:$K$1498,4,FALSE),"")</f>
        <v>Tornillos No. 8X3/8" cabeza PAN</v>
      </c>
      <c r="E66" s="21" t="str">
        <f>IFERROR(VLOOKUP(A66,Kardex!$A$1:$K$1498,5,FALSE),"")</f>
        <v>Ar. Blanco</v>
      </c>
      <c r="F66" s="21">
        <f>IFERROR(VLOOKUP(A66,Kardex!$A$1:$K$1498,6,FALSE),"")</f>
        <v>0</v>
      </c>
      <c r="G66" s="21">
        <f>IFERROR(VLOOKUP(A66,Kardex!$A$1:$K$1498,7,FALSE),"")</f>
        <v>0</v>
      </c>
      <c r="H66" s="21" t="str">
        <f>IFERROR(VLOOKUP(A66,Kardex!$A$1:$K$1498,8,FALSE),"")</f>
        <v>un</v>
      </c>
      <c r="I66" s="45">
        <f>IFERROR(VLOOKUP($A66,Kardex!$A$1:$L$1498,9,FALSE),"")</f>
        <v>0</v>
      </c>
      <c r="J66" s="45">
        <f>IFERROR(VLOOKUP($A66,Kardex!$A$1:$L$1498,10,FALSE),"")</f>
        <v>1000</v>
      </c>
      <c r="K66" s="45">
        <f>IFERROR(VLOOKUP($A66,Kardex!$A$1:$L$1498,11,FALSE),"")</f>
        <v>400</v>
      </c>
      <c r="L66" s="45">
        <f>IFERROR(VLOOKUP($A66,Kardex!$A$1:$L$1498,12,FALSE),"")</f>
        <v>600</v>
      </c>
    </row>
    <row r="67" spans="1:12" ht="12.75" customHeight="1" x14ac:dyDescent="0.2">
      <c r="A67" s="18">
        <v>66</v>
      </c>
      <c r="B67" s="19" t="str">
        <f>IF(IFERROR(VLOOKUP(A67,Kardex!$A$1:$K$1498,2,FALSE),"")=0,"",IFERROR(VLOOKUP(A67,Kardex!$A$1:$K$1498,2,FALSE),""))</f>
        <v/>
      </c>
      <c r="C67" s="19" t="str">
        <f>IFERROR(VLOOKUP(A67,Kardex!$A$1:$K$1498,3,FALSE),"")</f>
        <v>Tornillos</v>
      </c>
      <c r="D67" s="20" t="str">
        <f>IFERROR(VLOOKUP(A67,Kardex!$A$1:$K$1498,4,FALSE),"")</f>
        <v>Tornillos No. 10X2" cabeza Avellan</v>
      </c>
      <c r="E67" s="21" t="str">
        <f>IFERROR(VLOOKUP(A67,Kardex!$A$1:$K$1498,5,FALSE),"")</f>
        <v>Ar. Blanco</v>
      </c>
      <c r="F67" s="21">
        <f>IFERROR(VLOOKUP(A67,Kardex!$A$1:$K$1498,6,FALSE),"")</f>
        <v>0</v>
      </c>
      <c r="G67" s="21">
        <f>IFERROR(VLOOKUP(A67,Kardex!$A$1:$K$1498,7,FALSE),"")</f>
        <v>0</v>
      </c>
      <c r="H67" s="21" t="str">
        <f>IFERROR(VLOOKUP(A67,Kardex!$A$1:$K$1498,8,FALSE),"")</f>
        <v>un</v>
      </c>
      <c r="I67" s="45">
        <f>IFERROR(VLOOKUP($A67,Kardex!$A$1:$L$1498,9,FALSE),"")</f>
        <v>177</v>
      </c>
      <c r="J67" s="45">
        <f>IFERROR(VLOOKUP($A67,Kardex!$A$1:$L$1498,10,FALSE),"")</f>
        <v>0</v>
      </c>
      <c r="K67" s="45">
        <f>IFERROR(VLOOKUP($A67,Kardex!$A$1:$L$1498,11,FALSE),"")</f>
        <v>0</v>
      </c>
      <c r="L67" s="45">
        <f>IFERROR(VLOOKUP($A67,Kardex!$A$1:$L$1498,12,FALSE),"")</f>
        <v>177</v>
      </c>
    </row>
    <row r="68" spans="1:12" ht="12.75" customHeight="1" x14ac:dyDescent="0.2">
      <c r="A68" s="18">
        <v>67</v>
      </c>
      <c r="B68" s="19" t="str">
        <f>IF(IFERROR(VLOOKUP(A68,Kardex!$A$1:$K$1498,2,FALSE),"")=0,"",IFERROR(VLOOKUP(A68,Kardex!$A$1:$K$1498,2,FALSE),""))</f>
        <v/>
      </c>
      <c r="C68" s="19" t="str">
        <f>IFERROR(VLOOKUP(A68,Kardex!$A$1:$K$1498,3,FALSE),"")</f>
        <v>Tornillos</v>
      </c>
      <c r="D68" s="20" t="str">
        <f>IFERROR(VLOOKUP(A68,Kardex!$A$1:$K$1498,4,FALSE),"")</f>
        <v>Tornillos No. 10X2-1/2" cabeza Avellan</v>
      </c>
      <c r="E68" s="21" t="str">
        <f>IFERROR(VLOOKUP(A68,Kardex!$A$1:$K$1498,5,FALSE),"")</f>
        <v>Ar. Blanco</v>
      </c>
      <c r="F68" s="21">
        <f>IFERROR(VLOOKUP(A68,Kardex!$A$1:$K$1498,6,FALSE),"")</f>
        <v>0</v>
      </c>
      <c r="G68" s="21">
        <f>IFERROR(VLOOKUP(A68,Kardex!$A$1:$K$1498,7,FALSE),"")</f>
        <v>0</v>
      </c>
      <c r="H68" s="21" t="str">
        <f>IFERROR(VLOOKUP(A68,Kardex!$A$1:$K$1498,8,FALSE),"")</f>
        <v>un</v>
      </c>
      <c r="I68" s="45">
        <f>IFERROR(VLOOKUP($A68,Kardex!$A$1:$L$1498,9,FALSE),"")</f>
        <v>9</v>
      </c>
      <c r="J68" s="45">
        <f>IFERROR(VLOOKUP($A68,Kardex!$A$1:$L$1498,10,FALSE),"")</f>
        <v>0</v>
      </c>
      <c r="K68" s="45">
        <f>IFERROR(VLOOKUP($A68,Kardex!$A$1:$L$1498,11,FALSE),"")</f>
        <v>0</v>
      </c>
      <c r="L68" s="45">
        <f>IFERROR(VLOOKUP($A68,Kardex!$A$1:$L$1498,12,FALSE),"")</f>
        <v>9</v>
      </c>
    </row>
    <row r="69" spans="1:12" ht="12.75" customHeight="1" x14ac:dyDescent="0.2">
      <c r="A69" s="18">
        <v>68</v>
      </c>
      <c r="B69" s="19" t="str">
        <f>IF(IFERROR(VLOOKUP(A69,Kardex!$A$1:$K$1498,2,FALSE),"")=0,"",IFERROR(VLOOKUP(A69,Kardex!$A$1:$K$1498,2,FALSE),""))</f>
        <v/>
      </c>
      <c r="C69" s="19" t="str">
        <f>IFERROR(VLOOKUP(A69,Kardex!$A$1:$K$1498,3,FALSE),"")</f>
        <v>Tornillos</v>
      </c>
      <c r="D69" s="20" t="str">
        <f>IFERROR(VLOOKUP(A69,Kardex!$A$1:$K$1498,4,FALSE),"")</f>
        <v>Tornillos No. 8X1" cabeza Avellan</v>
      </c>
      <c r="E69" s="21" t="str">
        <f>IFERROR(VLOOKUP(A69,Kardex!$A$1:$K$1498,5,FALSE),"")</f>
        <v>Ar. Blanco</v>
      </c>
      <c r="F69" s="21">
        <f>IFERROR(VLOOKUP(A69,Kardex!$A$1:$K$1498,6,FALSE),"")</f>
        <v>0</v>
      </c>
      <c r="G69" s="21">
        <f>IFERROR(VLOOKUP(A69,Kardex!$A$1:$K$1498,7,FALSE),"")</f>
        <v>0</v>
      </c>
      <c r="H69" s="21" t="str">
        <f>IFERROR(VLOOKUP(A69,Kardex!$A$1:$K$1498,8,FALSE),"")</f>
        <v>un</v>
      </c>
      <c r="I69" s="45">
        <f>IFERROR(VLOOKUP($A69,Kardex!$A$1:$L$1498,9,FALSE),"")</f>
        <v>6</v>
      </c>
      <c r="J69" s="45">
        <f>IFERROR(VLOOKUP($A69,Kardex!$A$1:$L$1498,10,FALSE),"")</f>
        <v>0</v>
      </c>
      <c r="K69" s="45">
        <f>IFERROR(VLOOKUP($A69,Kardex!$A$1:$L$1498,11,FALSE),"")</f>
        <v>0</v>
      </c>
      <c r="L69" s="45">
        <f>IFERROR(VLOOKUP($A69,Kardex!$A$1:$L$1498,12,FALSE),"")</f>
        <v>6</v>
      </c>
    </row>
    <row r="70" spans="1:12" ht="12.75" customHeight="1" x14ac:dyDescent="0.2">
      <c r="A70" s="18">
        <v>69</v>
      </c>
      <c r="B70" s="19" t="str">
        <f>IF(IFERROR(VLOOKUP(A70,Kardex!$A$1:$K$1498,2,FALSE),"")=0,"",IFERROR(VLOOKUP(A70,Kardex!$A$1:$K$1498,2,FALSE),""))</f>
        <v/>
      </c>
      <c r="C70" s="19" t="str">
        <f>IFERROR(VLOOKUP(A70,Kardex!$A$1:$K$1498,3,FALSE),"")</f>
        <v>Tornillos</v>
      </c>
      <c r="D70" s="20" t="str">
        <f>IFERROR(VLOOKUP(A70,Kardex!$A$1:$K$1498,4,FALSE),"")</f>
        <v>Tornillos No. 8X3/4" cabeza Avellan</v>
      </c>
      <c r="E70" s="21" t="str">
        <f>IFERROR(VLOOKUP(A70,Kardex!$A$1:$K$1498,5,FALSE),"")</f>
        <v>Ar. Blanco</v>
      </c>
      <c r="F70" s="21">
        <f>IFERROR(VLOOKUP(A70,Kardex!$A$1:$K$1498,6,FALSE),"")</f>
        <v>0</v>
      </c>
      <c r="G70" s="21">
        <f>IFERROR(VLOOKUP(A70,Kardex!$A$1:$K$1498,7,FALSE),"")</f>
        <v>0</v>
      </c>
      <c r="H70" s="21" t="str">
        <f>IFERROR(VLOOKUP(A70,Kardex!$A$1:$K$1498,8,FALSE),"")</f>
        <v>un</v>
      </c>
      <c r="I70" s="45">
        <f>IFERROR(VLOOKUP($A70,Kardex!$A$1:$L$1498,9,FALSE),"")</f>
        <v>167</v>
      </c>
      <c r="J70" s="45">
        <f>IFERROR(VLOOKUP($A70,Kardex!$A$1:$L$1498,10,FALSE),"")</f>
        <v>0</v>
      </c>
      <c r="K70" s="45">
        <f>IFERROR(VLOOKUP($A70,Kardex!$A$1:$L$1498,11,FALSE),"")</f>
        <v>0</v>
      </c>
      <c r="L70" s="45">
        <f>IFERROR(VLOOKUP($A70,Kardex!$A$1:$L$1498,12,FALSE),"")</f>
        <v>167</v>
      </c>
    </row>
    <row r="71" spans="1:12" ht="12.75" customHeight="1" x14ac:dyDescent="0.2">
      <c r="A71" s="18">
        <v>70</v>
      </c>
      <c r="B71" s="19" t="str">
        <f>IF(IFERROR(VLOOKUP(A71,Kardex!$A$1:$K$1498,2,FALSE),"")=0,"",IFERROR(VLOOKUP(A71,Kardex!$A$1:$K$1498,2,FALSE),""))</f>
        <v/>
      </c>
      <c r="C71" s="19" t="str">
        <f>IFERROR(VLOOKUP(A71,Kardex!$A$1:$K$1498,3,FALSE),"")</f>
        <v>Tornillos</v>
      </c>
      <c r="D71" s="20" t="str">
        <f>IFERROR(VLOOKUP(A71,Kardex!$A$1:$K$1498,4,FALSE),"")</f>
        <v>Tornillos No. 8X1/2" cabeza Avellan</v>
      </c>
      <c r="E71" s="21" t="str">
        <f>IFERROR(VLOOKUP(A71,Kardex!$A$1:$K$1498,5,FALSE),"")</f>
        <v>Ar. Blanco</v>
      </c>
      <c r="F71" s="21">
        <f>IFERROR(VLOOKUP(A71,Kardex!$A$1:$K$1498,6,FALSE),"")</f>
        <v>0</v>
      </c>
      <c r="G71" s="21">
        <f>IFERROR(VLOOKUP(A71,Kardex!$A$1:$K$1498,7,FALSE),"")</f>
        <v>0</v>
      </c>
      <c r="H71" s="21" t="str">
        <f>IFERROR(VLOOKUP(A71,Kardex!$A$1:$K$1498,8,FALSE),"")</f>
        <v>un</v>
      </c>
      <c r="I71" s="45">
        <f>IFERROR(VLOOKUP($A71,Kardex!$A$1:$L$1498,9,FALSE),"")</f>
        <v>12</v>
      </c>
      <c r="J71" s="45">
        <f>IFERROR(VLOOKUP($A71,Kardex!$A$1:$L$1498,10,FALSE),"")</f>
        <v>400</v>
      </c>
      <c r="K71" s="45">
        <f>IFERROR(VLOOKUP($A71,Kardex!$A$1:$L$1498,11,FALSE),"")</f>
        <v>0</v>
      </c>
      <c r="L71" s="45">
        <f>IFERROR(VLOOKUP($A71,Kardex!$A$1:$L$1498,12,FALSE),"")</f>
        <v>412</v>
      </c>
    </row>
    <row r="72" spans="1:12" ht="12.75" customHeight="1" x14ac:dyDescent="0.2">
      <c r="A72" s="18">
        <v>71</v>
      </c>
      <c r="B72" s="19" t="str">
        <f>IF(IFERROR(VLOOKUP(A72,Kardex!$A$1:$K$1498,2,FALSE),"")=0,"",IFERROR(VLOOKUP(A72,Kardex!$A$1:$K$1498,2,FALSE),""))</f>
        <v/>
      </c>
      <c r="C72" s="19" t="str">
        <f>IFERROR(VLOOKUP(A72,Kardex!$A$1:$K$1498,3,FALSE),"")</f>
        <v>Tornillos</v>
      </c>
      <c r="D72" s="20" t="str">
        <f>IFERROR(VLOOKUP(A72,Kardex!$A$1:$K$1498,4,FALSE),"")</f>
        <v>Tornillos No. 6X3/8" cabeza Avellan</v>
      </c>
      <c r="E72" s="21" t="str">
        <f>IFERROR(VLOOKUP(A72,Kardex!$A$1:$K$1498,5,FALSE),"")</f>
        <v>Ar. Blanco</v>
      </c>
      <c r="F72" s="21">
        <f>IFERROR(VLOOKUP(A72,Kardex!$A$1:$K$1498,6,FALSE),"")</f>
        <v>0</v>
      </c>
      <c r="G72" s="21">
        <f>IFERROR(VLOOKUP(A72,Kardex!$A$1:$K$1498,7,FALSE),"")</f>
        <v>0</v>
      </c>
      <c r="H72" s="21" t="str">
        <f>IFERROR(VLOOKUP(A72,Kardex!$A$1:$K$1498,8,FALSE),"")</f>
        <v>un</v>
      </c>
      <c r="I72" s="45">
        <f>IFERROR(VLOOKUP($A72,Kardex!$A$1:$L$1498,9,FALSE),"")</f>
        <v>11</v>
      </c>
      <c r="J72" s="45">
        <f>IFERROR(VLOOKUP($A72,Kardex!$A$1:$L$1498,10,FALSE),"")</f>
        <v>0</v>
      </c>
      <c r="K72" s="45">
        <f>IFERROR(VLOOKUP($A72,Kardex!$A$1:$L$1498,11,FALSE),"")</f>
        <v>11</v>
      </c>
      <c r="L72" s="45">
        <f>IFERROR(VLOOKUP($A72,Kardex!$A$1:$L$1498,12,FALSE),"")</f>
        <v>0</v>
      </c>
    </row>
    <row r="73" spans="1:12" ht="12.75" customHeight="1" x14ac:dyDescent="0.2">
      <c r="A73" s="18">
        <v>72</v>
      </c>
      <c r="B73" s="19" t="str">
        <f>IF(IFERROR(VLOOKUP(A73,Kardex!$A$1:$K$1498,2,FALSE),"")=0,"",IFERROR(VLOOKUP(A73,Kardex!$A$1:$K$1498,2,FALSE),""))</f>
        <v/>
      </c>
      <c r="C73" s="19" t="str">
        <f>IFERROR(VLOOKUP(A73,Kardex!$A$1:$K$1498,3,FALSE),"")</f>
        <v>Tornillos</v>
      </c>
      <c r="D73" s="20" t="str">
        <f>IFERROR(VLOOKUP(A73,Kardex!$A$1:$K$1498,4,FALSE),"")</f>
        <v>Tornillos No. 6X1-1/2" cabeza Avellan</v>
      </c>
      <c r="E73" s="21" t="str">
        <f>IFERROR(VLOOKUP(A73,Kardex!$A$1:$K$1498,5,FALSE),"")</f>
        <v>Ar. Blanco</v>
      </c>
      <c r="F73" s="21">
        <f>IFERROR(VLOOKUP(A73,Kardex!$A$1:$K$1498,6,FALSE),"")</f>
        <v>0</v>
      </c>
      <c r="G73" s="21">
        <f>IFERROR(VLOOKUP(A73,Kardex!$A$1:$K$1498,7,FALSE),"")</f>
        <v>0</v>
      </c>
      <c r="H73" s="21" t="str">
        <f>IFERROR(VLOOKUP(A73,Kardex!$A$1:$K$1498,8,FALSE),"")</f>
        <v>un</v>
      </c>
      <c r="I73" s="45">
        <f>IFERROR(VLOOKUP($A73,Kardex!$A$1:$L$1498,9,FALSE),"")</f>
        <v>12</v>
      </c>
      <c r="J73" s="45">
        <f>IFERROR(VLOOKUP($A73,Kardex!$A$1:$L$1498,10,FALSE),"")</f>
        <v>0</v>
      </c>
      <c r="K73" s="45">
        <f>IFERROR(VLOOKUP($A73,Kardex!$A$1:$L$1498,11,FALSE),"")</f>
        <v>12</v>
      </c>
      <c r="L73" s="45">
        <f>IFERROR(VLOOKUP($A73,Kardex!$A$1:$L$1498,12,FALSE),"")</f>
        <v>0</v>
      </c>
    </row>
    <row r="74" spans="1:12" ht="12.75" customHeight="1" x14ac:dyDescent="0.2">
      <c r="A74" s="18">
        <v>73</v>
      </c>
      <c r="B74" s="19" t="str">
        <f>IF(IFERROR(VLOOKUP(A74,Kardex!$A$1:$K$1498,2,FALSE),"")=0,"",IFERROR(VLOOKUP(A74,Kardex!$A$1:$K$1498,2,FALSE),""))</f>
        <v/>
      </c>
      <c r="C74" s="19" t="str">
        <f>IFERROR(VLOOKUP(A74,Kardex!$A$1:$K$1498,3,FALSE),"")</f>
        <v>Tornillos</v>
      </c>
      <c r="D74" s="20" t="str">
        <f>IFERROR(VLOOKUP(A74,Kardex!$A$1:$K$1498,4,FALSE),"")</f>
        <v>Tornillos No. 6X1/2" cabeza Avellan</v>
      </c>
      <c r="E74" s="21" t="str">
        <f>IFERROR(VLOOKUP(A74,Kardex!$A$1:$K$1498,5,FALSE),"")</f>
        <v>Ar. Blanco</v>
      </c>
      <c r="F74" s="21">
        <f>IFERROR(VLOOKUP(A74,Kardex!$A$1:$K$1498,6,FALSE),"")</f>
        <v>0</v>
      </c>
      <c r="G74" s="21">
        <f>IFERROR(VLOOKUP(A74,Kardex!$A$1:$K$1498,7,FALSE),"")</f>
        <v>0</v>
      </c>
      <c r="H74" s="21" t="str">
        <f>IFERROR(VLOOKUP(A74,Kardex!$A$1:$K$1498,8,FALSE),"")</f>
        <v>un</v>
      </c>
      <c r="I74" s="45">
        <f>IFERROR(VLOOKUP($A74,Kardex!$A$1:$L$1498,9,FALSE),"")</f>
        <v>130</v>
      </c>
      <c r="J74" s="45">
        <f>IFERROR(VLOOKUP($A74,Kardex!$A$1:$L$1498,10,FALSE),"")</f>
        <v>0</v>
      </c>
      <c r="K74" s="45">
        <f>IFERROR(VLOOKUP($A74,Kardex!$A$1:$L$1498,11,FALSE),"")</f>
        <v>130</v>
      </c>
      <c r="L74" s="45">
        <f>IFERROR(VLOOKUP($A74,Kardex!$A$1:$L$1498,12,FALSE),"")</f>
        <v>0</v>
      </c>
    </row>
    <row r="75" spans="1:12" ht="12.75" customHeight="1" x14ac:dyDescent="0.2">
      <c r="A75" s="18">
        <v>74</v>
      </c>
      <c r="B75" s="19" t="str">
        <f>IF(IFERROR(VLOOKUP(A75,Kardex!$A$1:$K$1498,2,FALSE),"")=0,"",IFERROR(VLOOKUP(A75,Kardex!$A$1:$K$1498,2,FALSE),""))</f>
        <v/>
      </c>
      <c r="C75" s="19" t="str">
        <f>IFERROR(VLOOKUP(A75,Kardex!$A$1:$K$1498,3,FALSE),"")</f>
        <v>Tornillos</v>
      </c>
      <c r="D75" s="20" t="str">
        <f>IFERROR(VLOOKUP(A75,Kardex!$A$1:$K$1498,4,FALSE),"")</f>
        <v>Remaches pop 5/32X9/16</v>
      </c>
      <c r="E75" s="21" t="str">
        <f>IFERROR(VLOOKUP(A75,Kardex!$A$1:$K$1498,5,FALSE),"")</f>
        <v>Ar. Blanco</v>
      </c>
      <c r="F75" s="21">
        <f>IFERROR(VLOOKUP(A75,Kardex!$A$1:$K$1498,6,FALSE),"")</f>
        <v>0</v>
      </c>
      <c r="G75" s="21">
        <f>IFERROR(VLOOKUP(A75,Kardex!$A$1:$K$1498,7,FALSE),"")</f>
        <v>0</v>
      </c>
      <c r="H75" s="21" t="str">
        <f>IFERROR(VLOOKUP(A75,Kardex!$A$1:$K$1498,8,FALSE),"")</f>
        <v>m</v>
      </c>
      <c r="I75" s="45">
        <f>IFERROR(VLOOKUP($A75,Kardex!$A$1:$L$1498,9,FALSE),"")</f>
        <v>300</v>
      </c>
      <c r="J75" s="45">
        <f>IFERROR(VLOOKUP($A75,Kardex!$A$1:$L$1498,10,FALSE),"")</f>
        <v>0</v>
      </c>
      <c r="K75" s="45">
        <f>IFERROR(VLOOKUP($A75,Kardex!$A$1:$L$1498,11,FALSE),"")</f>
        <v>300</v>
      </c>
      <c r="L75" s="45">
        <f>IFERROR(VLOOKUP($A75,Kardex!$A$1:$L$1498,12,FALSE),"")</f>
        <v>0</v>
      </c>
    </row>
    <row r="76" spans="1:12" ht="12.75" customHeight="1" x14ac:dyDescent="0.2">
      <c r="A76" s="18">
        <v>75</v>
      </c>
      <c r="B76" s="19" t="str">
        <f>IF(IFERROR(VLOOKUP(A76,Kardex!$A$1:$K$1498,2,FALSE),"")=0,"",IFERROR(VLOOKUP(A76,Kardex!$A$1:$K$1498,2,FALSE),""))</f>
        <v/>
      </c>
      <c r="C76" s="19" t="str">
        <f>IFERROR(VLOOKUP(A76,Kardex!$A$1:$K$1498,3,FALSE),"")</f>
        <v>Tornillos</v>
      </c>
      <c r="D76" s="20" t="str">
        <f>IFERROR(VLOOKUP(A76,Kardex!$A$1:$K$1498,4,FALSE),"")</f>
        <v>Remaches pop 5/32X5/16</v>
      </c>
      <c r="E76" s="21" t="str">
        <f>IFERROR(VLOOKUP(A76,Kardex!$A$1:$K$1498,5,FALSE),"")</f>
        <v>Ar. Blanco</v>
      </c>
      <c r="F76" s="21">
        <f>IFERROR(VLOOKUP(A76,Kardex!$A$1:$K$1498,6,FALSE),"")</f>
        <v>0</v>
      </c>
      <c r="G76" s="21">
        <f>IFERROR(VLOOKUP(A76,Kardex!$A$1:$K$1498,7,FALSE),"")</f>
        <v>0</v>
      </c>
      <c r="H76" s="21" t="str">
        <f>IFERROR(VLOOKUP(A76,Kardex!$A$1:$K$1498,8,FALSE),"")</f>
        <v>m</v>
      </c>
      <c r="I76" s="45">
        <f>IFERROR(VLOOKUP($A76,Kardex!$A$1:$L$1498,9,FALSE),"")</f>
        <v>0</v>
      </c>
      <c r="J76" s="45">
        <f>IFERROR(VLOOKUP($A76,Kardex!$A$1:$L$1498,10,FALSE),"")</f>
        <v>500</v>
      </c>
      <c r="K76" s="45">
        <f>IFERROR(VLOOKUP($A76,Kardex!$A$1:$L$1498,11,FALSE),"")</f>
        <v>500</v>
      </c>
      <c r="L76" s="45">
        <f>IFERROR(VLOOKUP($A76,Kardex!$A$1:$L$1498,12,FALSE),"")</f>
        <v>0</v>
      </c>
    </row>
    <row r="77" spans="1:12" ht="12.75" customHeight="1" x14ac:dyDescent="0.2">
      <c r="A77" s="18">
        <v>76</v>
      </c>
      <c r="B77" s="19" t="str">
        <f>IF(IFERROR(VLOOKUP(A77,Kardex!$A$1:$K$1498,2,FALSE),"")=0,"",IFERROR(VLOOKUP(A77,Kardex!$A$1:$K$1498,2,FALSE),""))</f>
        <v/>
      </c>
      <c r="C77" s="19" t="str">
        <f>IFERROR(VLOOKUP(A77,Kardex!$A$1:$K$1498,3,FALSE),"")</f>
        <v>Tornillos</v>
      </c>
      <c r="D77" s="20" t="str">
        <f>IFERROR(VLOOKUP(A77,Kardex!$A$1:$K$1498,4,FALSE),"")</f>
        <v>Remaches pop 5/32X3/8</v>
      </c>
      <c r="E77" s="21" t="str">
        <f>IFERROR(VLOOKUP(A77,Kardex!$A$1:$K$1498,5,FALSE),"")</f>
        <v>Ar. Blanco</v>
      </c>
      <c r="F77" s="21">
        <f>IFERROR(VLOOKUP(A77,Kardex!$A$1:$K$1498,6,FALSE),"")</f>
        <v>0</v>
      </c>
      <c r="G77" s="21">
        <f>IFERROR(VLOOKUP(A77,Kardex!$A$1:$K$1498,7,FALSE),"")</f>
        <v>0</v>
      </c>
      <c r="H77" s="21" t="str">
        <f>IFERROR(VLOOKUP(A77,Kardex!$A$1:$K$1498,8,FALSE),"")</f>
        <v>m</v>
      </c>
      <c r="I77" s="45">
        <f>IFERROR(VLOOKUP($A77,Kardex!$A$1:$L$1498,9,FALSE),"")</f>
        <v>0</v>
      </c>
      <c r="J77" s="45">
        <f>IFERROR(VLOOKUP($A77,Kardex!$A$1:$L$1498,10,FALSE),"")</f>
        <v>1000</v>
      </c>
      <c r="K77" s="45">
        <f>IFERROR(VLOOKUP($A77,Kardex!$A$1:$L$1498,11,FALSE),"")</f>
        <v>500</v>
      </c>
      <c r="L77" s="45">
        <f>IFERROR(VLOOKUP($A77,Kardex!$A$1:$L$1498,12,FALSE),"")</f>
        <v>500</v>
      </c>
    </row>
    <row r="78" spans="1:12" ht="12.75" customHeight="1" x14ac:dyDescent="0.2">
      <c r="A78" s="18">
        <v>77</v>
      </c>
      <c r="B78" s="19" t="str">
        <f>IF(IFERROR(VLOOKUP(A78,Kardex!$A$1:$K$1498,2,FALSE),"")=0,"",IFERROR(VLOOKUP(A78,Kardex!$A$1:$K$1498,2,FALSE),""))</f>
        <v/>
      </c>
      <c r="C78" s="19" t="str">
        <f>IFERROR(VLOOKUP(A78,Kardex!$A$1:$K$1498,3,FALSE),"")</f>
        <v>Tornillos</v>
      </c>
      <c r="D78" s="20" t="str">
        <f>IFERROR(VLOOKUP(A78,Kardex!$A$1:$K$1498,4,FALSE),"")</f>
        <v>Remaches pop 1/8X1/2</v>
      </c>
      <c r="E78" s="21" t="str">
        <f>IFERROR(VLOOKUP(A78,Kardex!$A$1:$K$1498,5,FALSE),"")</f>
        <v>Ar. Blanco</v>
      </c>
      <c r="F78" s="21">
        <f>IFERROR(VLOOKUP(A78,Kardex!$A$1:$K$1498,6,FALSE),"")</f>
        <v>0</v>
      </c>
      <c r="G78" s="21">
        <f>IFERROR(VLOOKUP(A78,Kardex!$A$1:$K$1498,7,FALSE),"")</f>
        <v>0</v>
      </c>
      <c r="H78" s="21" t="str">
        <f>IFERROR(VLOOKUP(A78,Kardex!$A$1:$K$1498,8,FALSE),"")</f>
        <v>un</v>
      </c>
      <c r="I78" s="45">
        <f>IFERROR(VLOOKUP($A78,Kardex!$A$1:$L$1498,9,FALSE),"")</f>
        <v>0</v>
      </c>
      <c r="J78" s="45">
        <f>IFERROR(VLOOKUP($A78,Kardex!$A$1:$L$1498,10,FALSE),"")</f>
        <v>1500</v>
      </c>
      <c r="K78" s="45">
        <f>IFERROR(VLOOKUP($A78,Kardex!$A$1:$L$1498,11,FALSE),"")</f>
        <v>1000</v>
      </c>
      <c r="L78" s="45">
        <f>IFERROR(VLOOKUP($A78,Kardex!$A$1:$L$1498,12,FALSE),"")</f>
        <v>500</v>
      </c>
    </row>
    <row r="79" spans="1:12" ht="12.75" customHeight="1" x14ac:dyDescent="0.2">
      <c r="A79" s="18">
        <v>78</v>
      </c>
      <c r="B79" s="19" t="str">
        <f>IF(IFERROR(VLOOKUP(A79,Kardex!$A$1:$K$1498,2,FALSE),"")=0,"",IFERROR(VLOOKUP(A79,Kardex!$A$1:$K$1498,2,FALSE),""))</f>
        <v/>
      </c>
      <c r="C79" s="19" t="str">
        <f>IFERROR(VLOOKUP(A79,Kardex!$A$1:$K$1498,3,FALSE),"")</f>
        <v>Tornillos</v>
      </c>
      <c r="D79" s="20" t="str">
        <f>IFERROR(VLOOKUP(A79,Kardex!$A$1:$K$1498,4,FALSE),"")</f>
        <v>Remaches pop 1/8X3/8</v>
      </c>
      <c r="E79" s="21" t="str">
        <f>IFERROR(VLOOKUP(A79,Kardex!$A$1:$K$1498,5,FALSE),"")</f>
        <v>Ar. Blanco</v>
      </c>
      <c r="F79" s="21">
        <f>IFERROR(VLOOKUP(A79,Kardex!$A$1:$K$1498,6,FALSE),"")</f>
        <v>0</v>
      </c>
      <c r="G79" s="21">
        <f>IFERROR(VLOOKUP(A79,Kardex!$A$1:$K$1498,7,FALSE),"")</f>
        <v>0</v>
      </c>
      <c r="H79" s="21" t="str">
        <f>IFERROR(VLOOKUP(A79,Kardex!$A$1:$K$1498,8,FALSE),"")</f>
        <v>un</v>
      </c>
      <c r="I79" s="45">
        <f>IFERROR(VLOOKUP($A79,Kardex!$A$1:$L$1498,9,FALSE),"")</f>
        <v>0</v>
      </c>
      <c r="J79" s="45">
        <f>IFERROR(VLOOKUP($A79,Kardex!$A$1:$L$1498,10,FALSE),"")</f>
        <v>0</v>
      </c>
      <c r="K79" s="45">
        <f>IFERROR(VLOOKUP($A79,Kardex!$A$1:$L$1498,11,FALSE),"")</f>
        <v>0</v>
      </c>
      <c r="L79" s="45">
        <f>IFERROR(VLOOKUP($A79,Kardex!$A$1:$L$1498,12,FALSE),"")</f>
        <v>0</v>
      </c>
    </row>
    <row r="80" spans="1:12" ht="12.75" customHeight="1" x14ac:dyDescent="0.2">
      <c r="A80" s="18">
        <v>79</v>
      </c>
      <c r="B80" s="19" t="str">
        <f>IF(IFERROR(VLOOKUP(A80,Kardex!$A$1:$K$1498,2,FALSE),"")=0,"",IFERROR(VLOOKUP(A80,Kardex!$A$1:$K$1498,2,FALSE),""))</f>
        <v/>
      </c>
      <c r="C80" s="19" t="str">
        <f>IFERROR(VLOOKUP(A80,Kardex!$A$1:$K$1498,3,FALSE),"")</f>
        <v>Rodamientos</v>
      </c>
      <c r="D80" s="20" t="str">
        <f>IFERROR(VLOOKUP(A80,Kardex!$A$1:$K$1498,4,FALSE),"")</f>
        <v>Rodachina en nilon 5020</v>
      </c>
      <c r="E80" s="21" t="str">
        <f>IFERROR(VLOOKUP(A80,Kardex!$A$1:$K$1498,5,FALSE),"")</f>
        <v>Ar. Blanco</v>
      </c>
      <c r="F80" s="21">
        <f>IFERROR(VLOOKUP(A80,Kardex!$A$1:$K$1498,6,FALSE),"")</f>
        <v>0</v>
      </c>
      <c r="G80" s="21">
        <f>IFERROR(VLOOKUP(A80,Kardex!$A$1:$K$1498,7,FALSE),"")</f>
        <v>0</v>
      </c>
      <c r="H80" s="21" t="str">
        <f>IFERROR(VLOOKUP(A80,Kardex!$A$1:$K$1498,8,FALSE),"")</f>
        <v>un</v>
      </c>
      <c r="I80" s="45">
        <f>IFERROR(VLOOKUP($A80,Kardex!$A$1:$L$1498,9,FALSE),"")</f>
        <v>0</v>
      </c>
      <c r="J80" s="45">
        <f>IFERROR(VLOOKUP($A80,Kardex!$A$1:$L$1498,10,FALSE),"")</f>
        <v>10</v>
      </c>
      <c r="K80" s="45">
        <f>IFERROR(VLOOKUP($A80,Kardex!$A$1:$L$1498,11,FALSE),"")</f>
        <v>0</v>
      </c>
      <c r="L80" s="45">
        <f>IFERROR(VLOOKUP($A80,Kardex!$A$1:$L$1498,12,FALSE),"")</f>
        <v>10</v>
      </c>
    </row>
    <row r="81" spans="1:12" ht="12.75" customHeight="1" x14ac:dyDescent="0.2">
      <c r="A81" s="18">
        <v>80</v>
      </c>
      <c r="B81" s="19" t="str">
        <f>IF(IFERROR(VLOOKUP(A81,Kardex!$A$1:$K$1498,2,FALSE),"")=0,"",IFERROR(VLOOKUP(A81,Kardex!$A$1:$K$1498,2,FALSE),""))</f>
        <v/>
      </c>
      <c r="C81" s="19" t="str">
        <f>IFERROR(VLOOKUP(A81,Kardex!$A$1:$K$1498,3,FALSE),"")</f>
        <v>Rodamientos</v>
      </c>
      <c r="D81" s="20" t="str">
        <f>IFERROR(VLOOKUP(A81,Kardex!$A$1:$K$1498,4,FALSE),"")</f>
        <v>Rodachina en nilon 744</v>
      </c>
      <c r="E81" s="21" t="str">
        <f>IFERROR(VLOOKUP(A81,Kardex!$A$1:$K$1498,5,FALSE),"")</f>
        <v>Ar. Blanco</v>
      </c>
      <c r="F81" s="21">
        <f>IFERROR(VLOOKUP(A81,Kardex!$A$1:$K$1498,6,FALSE),"")</f>
        <v>0</v>
      </c>
      <c r="G81" s="21">
        <f>IFERROR(VLOOKUP(A81,Kardex!$A$1:$K$1498,7,FALSE),"")</f>
        <v>0</v>
      </c>
      <c r="H81" s="21" t="str">
        <f>IFERROR(VLOOKUP(A81,Kardex!$A$1:$K$1498,8,FALSE),"")</f>
        <v>un</v>
      </c>
      <c r="I81" s="45">
        <f>IFERROR(VLOOKUP($A81,Kardex!$A$1:$L$1498,9,FALSE),"")</f>
        <v>0</v>
      </c>
      <c r="J81" s="45">
        <f>IFERROR(VLOOKUP($A81,Kardex!$A$1:$L$1498,10,FALSE),"")</f>
        <v>26</v>
      </c>
      <c r="K81" s="45">
        <f>IFERROR(VLOOKUP($A81,Kardex!$A$1:$L$1498,11,FALSE),"")</f>
        <v>26</v>
      </c>
      <c r="L81" s="45">
        <f>IFERROR(VLOOKUP($A81,Kardex!$A$1:$L$1498,12,FALSE),"")</f>
        <v>0</v>
      </c>
    </row>
    <row r="82" spans="1:12" ht="12.75" customHeight="1" x14ac:dyDescent="0.2">
      <c r="A82" s="18">
        <v>81</v>
      </c>
      <c r="B82" s="19" t="str">
        <f>IF(IFERROR(VLOOKUP(A82,Kardex!$A$1:$K$1498,2,FALSE),"")=0,"",IFERROR(VLOOKUP(A82,Kardex!$A$1:$K$1498,2,FALSE),""))</f>
        <v/>
      </c>
      <c r="C82" s="19" t="str">
        <f>IFERROR(VLOOKUP(A82,Kardex!$A$1:$K$1498,3,FALSE),"")</f>
        <v>Rodamientos</v>
      </c>
      <c r="D82" s="20" t="str">
        <f>IFERROR(VLOOKUP(A82,Kardex!$A$1:$K$1498,4,FALSE),"")</f>
        <v>Rodachina triangular en nilon para division de baño</v>
      </c>
      <c r="E82" s="21" t="str">
        <f>IFERROR(VLOOKUP(A82,Kardex!$A$1:$K$1498,5,FALSE),"")</f>
        <v>Ar. Blanco</v>
      </c>
      <c r="F82" s="21">
        <f>IFERROR(VLOOKUP(A82,Kardex!$A$1:$K$1498,6,FALSE),"")</f>
        <v>0</v>
      </c>
      <c r="G82" s="21">
        <f>IFERROR(VLOOKUP(A82,Kardex!$A$1:$K$1498,7,FALSE),"")</f>
        <v>0</v>
      </c>
      <c r="H82" s="21" t="str">
        <f>IFERROR(VLOOKUP(A82,Kardex!$A$1:$K$1498,8,FALSE),"")</f>
        <v>un</v>
      </c>
      <c r="I82" s="45">
        <f>IFERROR(VLOOKUP($A82,Kardex!$A$1:$L$1498,9,FALSE),"")</f>
        <v>0</v>
      </c>
      <c r="J82" s="45">
        <f>IFERROR(VLOOKUP($A82,Kardex!$A$1:$L$1498,10,FALSE),"")</f>
        <v>20</v>
      </c>
      <c r="K82" s="45">
        <f>IFERROR(VLOOKUP($A82,Kardex!$A$1:$L$1498,11,FALSE),"")</f>
        <v>9</v>
      </c>
      <c r="L82" s="45">
        <f>IFERROR(VLOOKUP($A82,Kardex!$A$1:$L$1498,12,FALSE),"")</f>
        <v>11</v>
      </c>
    </row>
    <row r="83" spans="1:12" ht="12.75" customHeight="1" x14ac:dyDescent="0.2">
      <c r="A83" s="18">
        <v>82</v>
      </c>
      <c r="B83" s="19" t="str">
        <f>IF(IFERROR(VLOOKUP(A83,Kardex!$A$1:$K$1498,2,FALSE),"")=0,"",IFERROR(VLOOKUP(A83,Kardex!$A$1:$K$1498,2,FALSE),""))</f>
        <v/>
      </c>
      <c r="C83" s="19" t="str">
        <f>IFERROR(VLOOKUP(A83,Kardex!$A$1:$K$1498,3,FALSE),"")</f>
        <v>Herraje</v>
      </c>
      <c r="D83" s="20" t="str">
        <f>IFERROR(VLOOKUP(A83,Kardex!$A$1:$K$1498,4,FALSE),"")</f>
        <v>Manija 8025-744 (M8025) para puerta de 19,5 cm</v>
      </c>
      <c r="E83" s="21" t="str">
        <f>IFERROR(VLOOKUP(A83,Kardex!$A$1:$K$1498,5,FALSE),"")</f>
        <v>Ar. Blanco</v>
      </c>
      <c r="F83" s="21">
        <f>IFERROR(VLOOKUP(A83,Kardex!$A$1:$K$1498,6,FALSE),"")</f>
        <v>0</v>
      </c>
      <c r="G83" s="21">
        <f>IFERROR(VLOOKUP(A83,Kardex!$A$1:$K$1498,7,FALSE),"")</f>
        <v>0</v>
      </c>
      <c r="H83" s="21" t="str">
        <f>IFERROR(VLOOKUP(A83,Kardex!$A$1:$K$1498,8,FALSE),"")</f>
        <v>un</v>
      </c>
      <c r="I83" s="45">
        <f>IFERROR(VLOOKUP($A83,Kardex!$A$1:$L$1498,9,FALSE),"")</f>
        <v>0</v>
      </c>
      <c r="J83" s="45">
        <f>IFERROR(VLOOKUP($A83,Kardex!$A$1:$L$1498,10,FALSE),"")</f>
        <v>10</v>
      </c>
      <c r="K83" s="45">
        <f>IFERROR(VLOOKUP($A83,Kardex!$A$1:$L$1498,11,FALSE),"")</f>
        <v>0</v>
      </c>
      <c r="L83" s="45">
        <f>IFERROR(VLOOKUP($A83,Kardex!$A$1:$L$1498,12,FALSE),"")</f>
        <v>10</v>
      </c>
    </row>
    <row r="84" spans="1:12" ht="12.75" customHeight="1" x14ac:dyDescent="0.2">
      <c r="A84" s="18">
        <v>83</v>
      </c>
      <c r="B84" s="19" t="str">
        <f>IF(IFERROR(VLOOKUP(A84,Kardex!$A$1:$K$1498,2,FALSE),"")=0,"",IFERROR(VLOOKUP(A84,Kardex!$A$1:$K$1498,2,FALSE),""))</f>
        <v/>
      </c>
      <c r="C84" s="19" t="str">
        <f>IFERROR(VLOOKUP(A84,Kardex!$A$1:$K$1498,3,FALSE),"")</f>
        <v>Herraje</v>
      </c>
      <c r="D84" s="20" t="str">
        <f>IFERROR(VLOOKUP(A84,Kardex!$A$1:$K$1498,4,FALSE),"")</f>
        <v>Manijas para ventana derecha</v>
      </c>
      <c r="E84" s="21" t="str">
        <f>IFERROR(VLOOKUP(A84,Kardex!$A$1:$K$1498,5,FALSE),"")</f>
        <v>Ar. Blanco</v>
      </c>
      <c r="F84" s="21" t="str">
        <f>IFERROR(VLOOKUP(A84,Kardex!$A$1:$K$1498,6,FALSE),"")</f>
        <v>Blanco pintura</v>
      </c>
      <c r="G84" s="21">
        <f>IFERROR(VLOOKUP(A84,Kardex!$A$1:$K$1498,7,FALSE),"")</f>
        <v>0</v>
      </c>
      <c r="H84" s="21" t="str">
        <f>IFERROR(VLOOKUP(A84,Kardex!$A$1:$K$1498,8,FALSE),"")</f>
        <v>un</v>
      </c>
      <c r="I84" s="45">
        <f>IFERROR(VLOOKUP($A84,Kardex!$A$1:$L$1498,9,FALSE),"")</f>
        <v>0</v>
      </c>
      <c r="J84" s="45">
        <f>IFERROR(VLOOKUP($A84,Kardex!$A$1:$L$1498,10,FALSE),"")</f>
        <v>7</v>
      </c>
      <c r="K84" s="45">
        <f>IFERROR(VLOOKUP($A84,Kardex!$A$1:$L$1498,11,FALSE),"")</f>
        <v>6</v>
      </c>
      <c r="L84" s="45">
        <f>IFERROR(VLOOKUP($A84,Kardex!$A$1:$L$1498,12,FALSE),"")</f>
        <v>1</v>
      </c>
    </row>
    <row r="85" spans="1:12" ht="12.75" customHeight="1" x14ac:dyDescent="0.2">
      <c r="A85" s="18">
        <v>84</v>
      </c>
      <c r="B85" s="19" t="str">
        <f>IF(IFERROR(VLOOKUP(A85,Kardex!$A$1:$K$1498,2,FALSE),"")=0,"",IFERROR(VLOOKUP(A85,Kardex!$A$1:$K$1498,2,FALSE),""))</f>
        <v/>
      </c>
      <c r="C85" s="19" t="str">
        <f>IFERROR(VLOOKUP(A85,Kardex!$A$1:$K$1498,3,FALSE),"")</f>
        <v>Herraje</v>
      </c>
      <c r="D85" s="20" t="str">
        <f>IFERROR(VLOOKUP(A85,Kardex!$A$1:$K$1498,4,FALSE),"")</f>
        <v>Manijas para ventana izquierda</v>
      </c>
      <c r="E85" s="21" t="str">
        <f>IFERROR(VLOOKUP(A85,Kardex!$A$1:$K$1498,5,FALSE),"")</f>
        <v>Ar. Blanco</v>
      </c>
      <c r="F85" s="21" t="str">
        <f>IFERROR(VLOOKUP(A85,Kardex!$A$1:$K$1498,6,FALSE),"")</f>
        <v>Blanco pintura</v>
      </c>
      <c r="G85" s="21">
        <f>IFERROR(VLOOKUP(A85,Kardex!$A$1:$K$1498,7,FALSE),"")</f>
        <v>0</v>
      </c>
      <c r="H85" s="21" t="str">
        <f>IFERROR(VLOOKUP(A85,Kardex!$A$1:$K$1498,8,FALSE),"")</f>
        <v>un</v>
      </c>
      <c r="I85" s="45">
        <f>IFERROR(VLOOKUP($A85,Kardex!$A$1:$L$1498,9,FALSE),"")</f>
        <v>0</v>
      </c>
      <c r="J85" s="45">
        <f>IFERROR(VLOOKUP($A85,Kardex!$A$1:$L$1498,10,FALSE),"")</f>
        <v>7</v>
      </c>
      <c r="K85" s="45">
        <f>IFERROR(VLOOKUP($A85,Kardex!$A$1:$L$1498,11,FALSE),"")</f>
        <v>5</v>
      </c>
      <c r="L85" s="45">
        <f>IFERROR(VLOOKUP($A85,Kardex!$A$1:$L$1498,12,FALSE),"")</f>
        <v>2</v>
      </c>
    </row>
    <row r="86" spans="1:12" ht="12.75" customHeight="1" x14ac:dyDescent="0.2">
      <c r="A86" s="18">
        <v>85</v>
      </c>
      <c r="B86" s="19" t="str">
        <f>IF(IFERROR(VLOOKUP(A86,Kardex!$A$1:$K$1498,2,FALSE),"")=0,"",IFERROR(VLOOKUP(A86,Kardex!$A$1:$K$1498,2,FALSE),""))</f>
        <v/>
      </c>
      <c r="C86" s="19" t="str">
        <f>IFERROR(VLOOKUP(A86,Kardex!$A$1:$K$1498,3,FALSE),"")</f>
        <v>Herraje</v>
      </c>
      <c r="D86" s="20" t="str">
        <f>IFERROR(VLOOKUP(A86,Kardex!$A$1:$K$1498,4,FALSE),"")</f>
        <v>Manijas para ventana izquierda</v>
      </c>
      <c r="E86" s="21" t="str">
        <f>IFERROR(VLOOKUP(A86,Kardex!$A$1:$K$1498,5,FALSE),"")</f>
        <v>Ar. Blanco</v>
      </c>
      <c r="F86" s="21" t="str">
        <f>IFERROR(VLOOKUP(A86,Kardex!$A$1:$K$1498,6,FALSE),"")</f>
        <v>Blanco mate</v>
      </c>
      <c r="G86" s="21">
        <f>IFERROR(VLOOKUP(A86,Kardex!$A$1:$K$1498,7,FALSE),"")</f>
        <v>0</v>
      </c>
      <c r="H86" s="21" t="str">
        <f>IFERROR(VLOOKUP(A86,Kardex!$A$1:$K$1498,8,FALSE),"")</f>
        <v>un</v>
      </c>
      <c r="I86" s="45">
        <f>IFERROR(VLOOKUP($A86,Kardex!$A$1:$L$1498,9,FALSE),"")</f>
        <v>0</v>
      </c>
      <c r="J86" s="45">
        <f>IFERROR(VLOOKUP($A86,Kardex!$A$1:$L$1498,10,FALSE),"")</f>
        <v>5</v>
      </c>
      <c r="K86" s="45">
        <f>IFERROR(VLOOKUP($A86,Kardex!$A$1:$L$1498,11,FALSE),"")</f>
        <v>0</v>
      </c>
      <c r="L86" s="45">
        <f>IFERROR(VLOOKUP($A86,Kardex!$A$1:$L$1498,12,FALSE),"")</f>
        <v>5</v>
      </c>
    </row>
    <row r="87" spans="1:12" ht="12.75" customHeight="1" x14ac:dyDescent="0.2">
      <c r="A87" s="18">
        <v>86</v>
      </c>
      <c r="B87" s="19" t="str">
        <f>IF(IFERROR(VLOOKUP(A87,Kardex!$A$1:$K$1498,2,FALSE),"")=0,"",IFERROR(VLOOKUP(A87,Kardex!$A$1:$K$1498,2,FALSE),""))</f>
        <v/>
      </c>
      <c r="C87" s="19" t="str">
        <f>IFERROR(VLOOKUP(A87,Kardex!$A$1:$K$1498,3,FALSE),"")</f>
        <v>Herraje</v>
      </c>
      <c r="D87" s="20" t="str">
        <f>IFERROR(VLOOKUP(A87,Kardex!$A$1:$K$1498,4,FALSE),"")</f>
        <v>Manija de sobreponer para division de baño</v>
      </c>
      <c r="E87" s="21" t="str">
        <f>IFERROR(VLOOKUP(A87,Kardex!$A$1:$K$1498,5,FALSE),"")</f>
        <v>Ar. Blanco</v>
      </c>
      <c r="F87" s="21">
        <f>IFERROR(VLOOKUP(A87,Kardex!$A$1:$K$1498,6,FALSE),"")</f>
        <v>0</v>
      </c>
      <c r="G87" s="21">
        <f>IFERROR(VLOOKUP(A87,Kardex!$A$1:$K$1498,7,FALSE),"")</f>
        <v>0</v>
      </c>
      <c r="H87" s="21" t="str">
        <f>IFERROR(VLOOKUP(A87,Kardex!$A$1:$K$1498,8,FALSE),"")</f>
        <v>un</v>
      </c>
      <c r="I87" s="45">
        <f>IFERROR(VLOOKUP($A87,Kardex!$A$1:$L$1498,9,FALSE),"")</f>
        <v>0</v>
      </c>
      <c r="J87" s="45">
        <f>IFERROR(VLOOKUP($A87,Kardex!$A$1:$L$1498,10,FALSE),"")</f>
        <v>0</v>
      </c>
      <c r="K87" s="45">
        <f>IFERROR(VLOOKUP($A87,Kardex!$A$1:$L$1498,11,FALSE),"")</f>
        <v>0</v>
      </c>
      <c r="L87" s="45">
        <f>IFERROR(VLOOKUP($A87,Kardex!$A$1:$L$1498,12,FALSE),"")</f>
        <v>0</v>
      </c>
    </row>
    <row r="88" spans="1:12" ht="12.75" customHeight="1" x14ac:dyDescent="0.2">
      <c r="A88" s="18">
        <v>87</v>
      </c>
      <c r="B88" s="19" t="str">
        <f>IF(IFERROR(VLOOKUP(A88,Kardex!$A$1:$K$1498,2,FALSE),"")=0,"",IFERROR(VLOOKUP(A88,Kardex!$A$1:$K$1498,2,FALSE),""))</f>
        <v/>
      </c>
      <c r="C88" s="19" t="str">
        <f>IFERROR(VLOOKUP(A88,Kardex!$A$1:$K$1498,3,FALSE),"")</f>
        <v>Herraje</v>
      </c>
      <c r="D88" s="20" t="str">
        <f>IFERROR(VLOOKUP(A88,Kardex!$A$1:$K$1498,4,FALSE),"")</f>
        <v>Bisagra omega 3"</v>
      </c>
      <c r="E88" s="21" t="str">
        <f>IFERROR(VLOOKUP(A88,Kardex!$A$1:$K$1498,5,FALSE),"")</f>
        <v>Ar. Blanco</v>
      </c>
      <c r="F88" s="21" t="str">
        <f>IFERROR(VLOOKUP(A88,Kardex!$A$1:$K$1498,6,FALSE),"")</f>
        <v>Blanco pintura</v>
      </c>
      <c r="G88" s="21">
        <f>IFERROR(VLOOKUP(A88,Kardex!$A$1:$K$1498,7,FALSE),"")</f>
        <v>0</v>
      </c>
      <c r="H88" s="21" t="str">
        <f>IFERROR(VLOOKUP(A88,Kardex!$A$1:$K$1498,8,FALSE),"")</f>
        <v>un</v>
      </c>
      <c r="I88" s="45">
        <f>IFERROR(VLOOKUP($A88,Kardex!$A$1:$L$1498,9,FALSE),"")</f>
        <v>3</v>
      </c>
      <c r="J88" s="45">
        <f>IFERROR(VLOOKUP($A88,Kardex!$A$1:$L$1498,10,FALSE),"")</f>
        <v>15</v>
      </c>
      <c r="K88" s="45">
        <f>IFERROR(VLOOKUP($A88,Kardex!$A$1:$L$1498,11,FALSE),"")</f>
        <v>4</v>
      </c>
      <c r="L88" s="45">
        <f>IFERROR(VLOOKUP($A88,Kardex!$A$1:$L$1498,12,FALSE),"")</f>
        <v>14</v>
      </c>
    </row>
    <row r="89" spans="1:12" ht="12.75" customHeight="1" x14ac:dyDescent="0.2">
      <c r="A89" s="18">
        <v>88</v>
      </c>
      <c r="B89" s="19" t="str">
        <f>IF(IFERROR(VLOOKUP(A89,Kardex!$A$1:$K$1498,2,FALSE),"")=0,"",IFERROR(VLOOKUP(A89,Kardex!$A$1:$K$1498,2,FALSE),""))</f>
        <v/>
      </c>
      <c r="C89" s="19" t="str">
        <f>IFERROR(VLOOKUP(A89,Kardex!$A$1:$K$1498,3,FALSE),"")</f>
        <v>Herraje</v>
      </c>
      <c r="D89" s="20" t="str">
        <f>IFERROR(VLOOKUP(A89,Kardex!$A$1:$K$1498,4,FALSE),"")</f>
        <v>Bisagra omega 3"</v>
      </c>
      <c r="E89" s="21" t="str">
        <f>IFERROR(VLOOKUP(A89,Kardex!$A$1:$K$1498,5,FALSE),"")</f>
        <v>Ar. Blanco</v>
      </c>
      <c r="F89" s="21" t="str">
        <f>IFERROR(VLOOKUP(A89,Kardex!$A$1:$K$1498,6,FALSE),"")</f>
        <v>Dorada</v>
      </c>
      <c r="G89" s="21">
        <f>IFERROR(VLOOKUP(A89,Kardex!$A$1:$K$1498,7,FALSE),"")</f>
        <v>0</v>
      </c>
      <c r="H89" s="21" t="str">
        <f>IFERROR(VLOOKUP(A89,Kardex!$A$1:$K$1498,8,FALSE),"")</f>
        <v>un</v>
      </c>
      <c r="I89" s="45">
        <f>IFERROR(VLOOKUP($A89,Kardex!$A$1:$L$1498,9,FALSE),"")</f>
        <v>0</v>
      </c>
      <c r="J89" s="45">
        <f>IFERROR(VLOOKUP($A89,Kardex!$A$1:$L$1498,10,FALSE),"")</f>
        <v>5</v>
      </c>
      <c r="K89" s="45">
        <f>IFERROR(VLOOKUP($A89,Kardex!$A$1:$L$1498,11,FALSE),"")</f>
        <v>0</v>
      </c>
      <c r="L89" s="45">
        <f>IFERROR(VLOOKUP($A89,Kardex!$A$1:$L$1498,12,FALSE),"")</f>
        <v>5</v>
      </c>
    </row>
    <row r="90" spans="1:12" ht="12.75" customHeight="1" x14ac:dyDescent="0.2">
      <c r="A90" s="18">
        <v>89</v>
      </c>
      <c r="B90" s="19" t="str">
        <f>IF(IFERROR(VLOOKUP(A90,Kardex!$A$1:$K$1498,2,FALSE),"")=0,"",IFERROR(VLOOKUP(A90,Kardex!$A$1:$K$1498,2,FALSE),""))</f>
        <v/>
      </c>
      <c r="C90" s="19" t="str">
        <f>IFERROR(VLOOKUP(A90,Kardex!$A$1:$K$1498,3,FALSE),"")</f>
        <v>Herraje</v>
      </c>
      <c r="D90" s="20" t="str">
        <f>IFERROR(VLOOKUP(A90,Kardex!$A$1:$K$1498,4,FALSE),"")</f>
        <v>Bisagra omega 1X3 plgs</v>
      </c>
      <c r="E90" s="21" t="str">
        <f>IFERROR(VLOOKUP(A90,Kardex!$A$1:$K$1498,5,FALSE),"")</f>
        <v>Ar. Blanco</v>
      </c>
      <c r="F90" s="21">
        <f>IFERROR(VLOOKUP(A90,Kardex!$A$1:$K$1498,6,FALSE),"")</f>
        <v>0</v>
      </c>
      <c r="G90" s="21">
        <f>IFERROR(VLOOKUP(A90,Kardex!$A$1:$K$1498,7,FALSE),"")</f>
        <v>0</v>
      </c>
      <c r="H90" s="21" t="str">
        <f>IFERROR(VLOOKUP(A90,Kardex!$A$1:$K$1498,8,FALSE),"")</f>
        <v>un</v>
      </c>
      <c r="I90" s="45">
        <f>IFERROR(VLOOKUP($A90,Kardex!$A$1:$L$1498,9,FALSE),"")</f>
        <v>3</v>
      </c>
      <c r="J90" s="45">
        <f>IFERROR(VLOOKUP($A90,Kardex!$A$1:$L$1498,10,FALSE),"")</f>
        <v>3</v>
      </c>
      <c r="K90" s="45">
        <f>IFERROR(VLOOKUP($A90,Kardex!$A$1:$L$1498,11,FALSE),"")</f>
        <v>0</v>
      </c>
      <c r="L90" s="45">
        <f>IFERROR(VLOOKUP($A90,Kardex!$A$1:$L$1498,12,FALSE),"")</f>
        <v>6</v>
      </c>
    </row>
    <row r="91" spans="1:12" ht="12.75" customHeight="1" x14ac:dyDescent="0.2">
      <c r="A91" s="18">
        <v>90</v>
      </c>
      <c r="B91" s="19" t="str">
        <f>IF(IFERROR(VLOOKUP(A91,Kardex!$A$1:$K$1498,2,FALSE),"")=0,"",IFERROR(VLOOKUP(A91,Kardex!$A$1:$K$1498,2,FALSE),""))</f>
        <v/>
      </c>
      <c r="C91" s="19" t="str">
        <f>IFERROR(VLOOKUP(A91,Kardex!$A$1:$K$1498,3,FALSE),"")</f>
        <v>Herraje</v>
      </c>
      <c r="D91" s="20" t="str">
        <f>IFERROR(VLOOKUP(A91,Kardex!$A$1:$K$1498,4,FALSE),"")</f>
        <v>Bisagra brazo para batiente 6 plgs</v>
      </c>
      <c r="E91" s="21" t="str">
        <f>IFERROR(VLOOKUP(A91,Kardex!$A$1:$K$1498,5,FALSE),"")</f>
        <v>Ar. Blanco</v>
      </c>
      <c r="F91" s="21">
        <f>IFERROR(VLOOKUP(A91,Kardex!$A$1:$K$1498,6,FALSE),"")</f>
        <v>0</v>
      </c>
      <c r="G91" s="21">
        <f>IFERROR(VLOOKUP(A91,Kardex!$A$1:$K$1498,7,FALSE),"")</f>
        <v>0</v>
      </c>
      <c r="H91" s="21" t="str">
        <f>IFERROR(VLOOKUP(A91,Kardex!$A$1:$K$1498,8,FALSE),"")</f>
        <v>un</v>
      </c>
      <c r="I91" s="45">
        <f>IFERROR(VLOOKUP($A91,Kardex!$A$1:$L$1498,9,FALSE),"")</f>
        <v>4</v>
      </c>
      <c r="J91" s="45">
        <f>IFERROR(VLOOKUP($A91,Kardex!$A$1:$L$1498,10,FALSE),"")</f>
        <v>16</v>
      </c>
      <c r="K91" s="45">
        <f>IFERROR(VLOOKUP($A91,Kardex!$A$1:$L$1498,11,FALSE),"")</f>
        <v>20</v>
      </c>
      <c r="L91" s="45">
        <f>IFERROR(VLOOKUP($A91,Kardex!$A$1:$L$1498,12,FALSE),"")</f>
        <v>0</v>
      </c>
    </row>
    <row r="92" spans="1:12" ht="12.75" customHeight="1" x14ac:dyDescent="0.2">
      <c r="A92" s="18">
        <v>91</v>
      </c>
      <c r="B92" s="19" t="str">
        <f>IF(IFERROR(VLOOKUP(A92,Kardex!$A$1:$K$1498,2,FALSE),"")=0,"",IFERROR(VLOOKUP(A92,Kardex!$A$1:$K$1498,2,FALSE),""))</f>
        <v/>
      </c>
      <c r="C92" s="19" t="str">
        <f>IFERROR(VLOOKUP(A92,Kardex!$A$1:$K$1498,3,FALSE),"")</f>
        <v>Herraje</v>
      </c>
      <c r="D92" s="20" t="str">
        <f>IFERROR(VLOOKUP(A92,Kardex!$A$1:$K$1498,4,FALSE),"")</f>
        <v>Soporte de toallero</v>
      </c>
      <c r="E92" s="21" t="str">
        <f>IFERROR(VLOOKUP(A92,Kardex!$A$1:$K$1498,5,FALSE),"")</f>
        <v>Ar. Blanco</v>
      </c>
      <c r="F92" s="21">
        <f>IFERROR(VLOOKUP(A92,Kardex!$A$1:$K$1498,6,FALSE),"")</f>
        <v>0</v>
      </c>
      <c r="G92" s="21">
        <f>IFERROR(VLOOKUP(A92,Kardex!$A$1:$K$1498,7,FALSE),"")</f>
        <v>0</v>
      </c>
      <c r="H92" s="21" t="str">
        <f>IFERROR(VLOOKUP(A92,Kardex!$A$1:$K$1498,8,FALSE),"")</f>
        <v>un</v>
      </c>
      <c r="I92" s="45">
        <f>IFERROR(VLOOKUP($A92,Kardex!$A$1:$L$1498,9,FALSE),"")</f>
        <v>0</v>
      </c>
      <c r="J92" s="45">
        <f>IFERROR(VLOOKUP($A92,Kardex!$A$1:$L$1498,10,FALSE),"")</f>
        <v>45</v>
      </c>
      <c r="K92" s="45">
        <f>IFERROR(VLOOKUP($A92,Kardex!$A$1:$L$1498,11,FALSE),"")</f>
        <v>17</v>
      </c>
      <c r="L92" s="45">
        <f>IFERROR(VLOOKUP($A92,Kardex!$A$1:$L$1498,12,FALSE),"")</f>
        <v>28</v>
      </c>
    </row>
    <row r="93" spans="1:12" ht="12.75" customHeight="1" x14ac:dyDescent="0.2">
      <c r="A93" s="18">
        <v>92</v>
      </c>
      <c r="B93" s="19" t="str">
        <f>IF(IFERROR(VLOOKUP(A93,Kardex!$A$1:$K$1498,2,FALSE),"")=0,"",IFERROR(VLOOKUP(A93,Kardex!$A$1:$K$1498,2,FALSE),""))</f>
        <v/>
      </c>
      <c r="C93" s="19" t="str">
        <f>IFERROR(VLOOKUP(A93,Kardex!$A$1:$K$1498,3,FALSE),"")</f>
        <v>Herraje</v>
      </c>
      <c r="D93" s="20" t="str">
        <f>IFERROR(VLOOKUP(A93,Kardex!$A$1:$K$1498,4,FALSE),"")</f>
        <v>Chapa inpacto para perfil aluminio 744</v>
      </c>
      <c r="E93" s="21" t="str">
        <f>IFERROR(VLOOKUP(A93,Kardex!$A$1:$K$1498,5,FALSE),"")</f>
        <v>Ar. Blanco</v>
      </c>
      <c r="F93" s="21" t="str">
        <f>IFERROR(VLOOKUP(A93,Kardex!$A$1:$K$1498,6,FALSE),"")</f>
        <v>Blanco pintura</v>
      </c>
      <c r="G93" s="21">
        <f>IFERROR(VLOOKUP(A93,Kardex!$A$1:$K$1498,7,FALSE),"")</f>
        <v>0</v>
      </c>
      <c r="H93" s="21" t="str">
        <f>IFERROR(VLOOKUP(A93,Kardex!$A$1:$K$1498,8,FALSE),"")</f>
        <v>un</v>
      </c>
      <c r="I93" s="45">
        <f>IFERROR(VLOOKUP($A93,Kardex!$A$1:$L$1498,9,FALSE),"")</f>
        <v>0</v>
      </c>
      <c r="J93" s="45">
        <f>IFERROR(VLOOKUP($A93,Kardex!$A$1:$L$1498,10,FALSE),"")</f>
        <v>6</v>
      </c>
      <c r="K93" s="45">
        <f>IFERROR(VLOOKUP($A93,Kardex!$A$1:$L$1498,11,FALSE),"")</f>
        <v>6</v>
      </c>
      <c r="L93" s="45">
        <f>IFERROR(VLOOKUP($A93,Kardex!$A$1:$L$1498,12,FALSE),"")</f>
        <v>0</v>
      </c>
    </row>
    <row r="94" spans="1:12" ht="12.75" customHeight="1" x14ac:dyDescent="0.2">
      <c r="A94" s="18">
        <v>93</v>
      </c>
      <c r="B94" s="19" t="str">
        <f>IF(IFERROR(VLOOKUP(A94,Kardex!$A$1:$K$1498,2,FALSE),"")=0,"",IFERROR(VLOOKUP(A94,Kardex!$A$1:$K$1498,2,FALSE),""))</f>
        <v/>
      </c>
      <c r="C94" s="19" t="str">
        <f>IFERROR(VLOOKUP(A94,Kardex!$A$1:$K$1498,3,FALSE),"")</f>
        <v>Herraje</v>
      </c>
      <c r="D94" s="20" t="str">
        <f>IFERROR(VLOOKUP(A94,Kardex!$A$1:$K$1498,4,FALSE),"")</f>
        <v>Chapa pico de loro para incrustar</v>
      </c>
      <c r="E94" s="21" t="str">
        <f>IFERROR(VLOOKUP(A94,Kardex!$A$1:$K$1498,5,FALSE),"")</f>
        <v>Ar. Blanco</v>
      </c>
      <c r="F94" s="21">
        <f>IFERROR(VLOOKUP(A94,Kardex!$A$1:$K$1498,6,FALSE),"")</f>
        <v>0</v>
      </c>
      <c r="G94" s="21">
        <f>IFERROR(VLOOKUP(A94,Kardex!$A$1:$K$1498,7,FALSE),"")</f>
        <v>0</v>
      </c>
      <c r="H94" s="21" t="str">
        <f>IFERROR(VLOOKUP(A94,Kardex!$A$1:$K$1498,8,FALSE),"")</f>
        <v>un</v>
      </c>
      <c r="I94" s="45">
        <f>IFERROR(VLOOKUP($A94,Kardex!$A$1:$L$1498,9,FALSE),"")</f>
        <v>0</v>
      </c>
      <c r="J94" s="45">
        <f>IFERROR(VLOOKUP($A94,Kardex!$A$1:$L$1498,10,FALSE),"")</f>
        <v>1</v>
      </c>
      <c r="K94" s="45">
        <f>IFERROR(VLOOKUP($A94,Kardex!$A$1:$L$1498,11,FALSE),"")</f>
        <v>0</v>
      </c>
      <c r="L94" s="45">
        <f>IFERROR(VLOOKUP($A94,Kardex!$A$1:$L$1498,12,FALSE),"")</f>
        <v>1</v>
      </c>
    </row>
    <row r="95" spans="1:12" ht="12.75" customHeight="1" x14ac:dyDescent="0.2">
      <c r="A95" s="18">
        <v>94</v>
      </c>
      <c r="B95" s="19" t="str">
        <f>IF(IFERROR(VLOOKUP(A95,Kardex!$A$1:$K$1498,2,FALSE),"")=0,"",IFERROR(VLOOKUP(A95,Kardex!$A$1:$K$1498,2,FALSE),""))</f>
        <v/>
      </c>
      <c r="C95" s="19" t="str">
        <f>IFERROR(VLOOKUP(A95,Kardex!$A$1:$K$1498,3,FALSE),"")</f>
        <v>Herraje</v>
      </c>
      <c r="D95" s="20" t="str">
        <f>IFERROR(VLOOKUP(A95,Kardex!$A$1:$K$1498,4,FALSE),"")</f>
        <v>Cerradura de pomo</v>
      </c>
      <c r="E95" s="21" t="str">
        <f>IFERROR(VLOOKUP(A95,Kardex!$A$1:$K$1498,5,FALSE),"")</f>
        <v>Ar. Blanco</v>
      </c>
      <c r="F95" s="21">
        <f>IFERROR(VLOOKUP(A95,Kardex!$A$1:$K$1498,6,FALSE),"")</f>
        <v>0</v>
      </c>
      <c r="G95" s="21">
        <f>IFERROR(VLOOKUP(A95,Kardex!$A$1:$K$1498,7,FALSE),"")</f>
        <v>0</v>
      </c>
      <c r="H95" s="21" t="str">
        <f>IFERROR(VLOOKUP(A95,Kardex!$A$1:$K$1498,8,FALSE),"")</f>
        <v>un</v>
      </c>
      <c r="I95" s="45">
        <f>IFERROR(VLOOKUP($A95,Kardex!$A$1:$L$1498,9,FALSE),"")</f>
        <v>0</v>
      </c>
      <c r="J95" s="45">
        <f>IFERROR(VLOOKUP($A95,Kardex!$A$1:$L$1498,10,FALSE),"")</f>
        <v>4</v>
      </c>
      <c r="K95" s="45">
        <f>IFERROR(VLOOKUP($A95,Kardex!$A$1:$L$1498,11,FALSE),"")</f>
        <v>0</v>
      </c>
      <c r="L95" s="45">
        <f>IFERROR(VLOOKUP($A95,Kardex!$A$1:$L$1498,12,FALSE),"")</f>
        <v>4</v>
      </c>
    </row>
    <row r="96" spans="1:12" ht="12.75" customHeight="1" x14ac:dyDescent="0.2">
      <c r="A96" s="18">
        <v>95</v>
      </c>
      <c r="B96" s="19" t="str">
        <f>IF(IFERROR(VLOOKUP(A96,Kardex!$A$1:$K$1498,2,FALSE),"")=0,"",IFERROR(VLOOKUP(A96,Kardex!$A$1:$K$1498,2,FALSE),""))</f>
        <v/>
      </c>
      <c r="C96" s="19" t="str">
        <f>IFERROR(VLOOKUP(A96,Kardex!$A$1:$K$1498,3,FALSE),"")</f>
        <v>Herraje</v>
      </c>
      <c r="D96" s="20" t="str">
        <f>IFERROR(VLOOKUP(A96,Kardex!$A$1:$K$1498,4,FALSE),"")</f>
        <v>Chapa KL1070 izquierda</v>
      </c>
      <c r="E96" s="21" t="str">
        <f>IFERROR(VLOOKUP(A96,Kardex!$A$1:$K$1498,5,FALSE),"")</f>
        <v>Ar. Blanco</v>
      </c>
      <c r="F96" s="21">
        <f>IFERROR(VLOOKUP(A96,Kardex!$A$1:$K$1498,6,FALSE),"")</f>
        <v>0</v>
      </c>
      <c r="G96" s="21">
        <f>IFERROR(VLOOKUP(A96,Kardex!$A$1:$K$1498,7,FALSE),"")</f>
        <v>0</v>
      </c>
      <c r="H96" s="21" t="str">
        <f>IFERROR(VLOOKUP(A96,Kardex!$A$1:$K$1498,8,FALSE),"")</f>
        <v>un</v>
      </c>
      <c r="I96" s="45">
        <f>IFERROR(VLOOKUP($A96,Kardex!$A$1:$L$1498,9,FALSE),"")</f>
        <v>0</v>
      </c>
      <c r="J96" s="45">
        <f>IFERROR(VLOOKUP($A96,Kardex!$A$1:$L$1498,10,FALSE),"")</f>
        <v>2</v>
      </c>
      <c r="K96" s="45">
        <f>IFERROR(VLOOKUP($A96,Kardex!$A$1:$L$1498,11,FALSE),"")</f>
        <v>0</v>
      </c>
      <c r="L96" s="45">
        <f>IFERROR(VLOOKUP($A96,Kardex!$A$1:$L$1498,12,FALSE),"")</f>
        <v>2</v>
      </c>
    </row>
    <row r="97" spans="1:12" ht="12.75" customHeight="1" x14ac:dyDescent="0.2">
      <c r="A97" s="18">
        <v>96</v>
      </c>
      <c r="B97" s="19" t="str">
        <f>IF(IFERROR(VLOOKUP(A97,Kardex!$A$1:$K$1498,2,FALSE),"")=0,"",IFERROR(VLOOKUP(A97,Kardex!$A$1:$K$1498,2,FALSE),""))</f>
        <v/>
      </c>
      <c r="C97" s="19" t="str">
        <f>IFERROR(VLOOKUP(A97,Kardex!$A$1:$K$1498,3,FALSE),"")</f>
        <v>Herraje</v>
      </c>
      <c r="D97" s="20" t="str">
        <f>IFERROR(VLOOKUP(A97,Kardex!$A$1:$K$1498,4,FALSE),"")</f>
        <v>Chapa KL1070 derecha</v>
      </c>
      <c r="E97" s="21">
        <f>IFERROR(VLOOKUP(A97,Kardex!$A$1:$K$1498,5,FALSE),"")</f>
        <v>0</v>
      </c>
      <c r="F97" s="21">
        <f>IFERROR(VLOOKUP(A97,Kardex!$A$1:$K$1498,6,FALSE),"")</f>
        <v>0</v>
      </c>
      <c r="G97" s="21">
        <f>IFERROR(VLOOKUP(A97,Kardex!$A$1:$K$1498,7,FALSE),"")</f>
        <v>0</v>
      </c>
      <c r="H97" s="21" t="str">
        <f>IFERROR(VLOOKUP(A97,Kardex!$A$1:$K$1498,8,FALSE),"")</f>
        <v>un</v>
      </c>
      <c r="I97" s="45">
        <f>IFERROR(VLOOKUP($A97,Kardex!$A$1:$L$1498,9,FALSE),"")</f>
        <v>0</v>
      </c>
      <c r="J97" s="45">
        <f>IFERROR(VLOOKUP($A97,Kardex!$A$1:$L$1498,10,FALSE),"")</f>
        <v>2</v>
      </c>
      <c r="K97" s="45">
        <f>IFERROR(VLOOKUP($A97,Kardex!$A$1:$L$1498,11,FALSE),"")</f>
        <v>0</v>
      </c>
      <c r="L97" s="45">
        <f>IFERROR(VLOOKUP($A97,Kardex!$A$1:$L$1498,12,FALSE),"")</f>
        <v>2</v>
      </c>
    </row>
    <row r="98" spans="1:12" ht="12.75" customHeight="1" x14ac:dyDescent="0.2">
      <c r="A98" s="18">
        <v>97</v>
      </c>
      <c r="B98" s="19" t="str">
        <f>IF(IFERROR(VLOOKUP(A98,Kardex!$A$1:$K$1498,2,FALSE),"")=0,"",IFERROR(VLOOKUP(A98,Kardex!$A$1:$K$1498,2,FALSE),""))</f>
        <v/>
      </c>
      <c r="C98" s="19" t="str">
        <f>IFERROR(VLOOKUP(A98,Kardex!$A$1:$K$1498,3,FALSE),"")</f>
        <v>Herraje</v>
      </c>
      <c r="D98" s="20" t="str">
        <f>IFERROR(VLOOKUP(A98,Kardex!$A$1:$K$1498,4,FALSE),"")</f>
        <v>Pasador mixto acero inoxidable 8 plgs</v>
      </c>
      <c r="E98" s="21">
        <f>IFERROR(VLOOKUP(A98,Kardex!$A$1:$K$1498,5,FALSE),"")</f>
        <v>0</v>
      </c>
      <c r="F98" s="21">
        <f>IFERROR(VLOOKUP(A98,Kardex!$A$1:$K$1498,6,FALSE),"")</f>
        <v>0</v>
      </c>
      <c r="G98" s="21">
        <f>IFERROR(VLOOKUP(A98,Kardex!$A$1:$K$1498,7,FALSE),"")</f>
        <v>0</v>
      </c>
      <c r="H98" s="21" t="str">
        <f>IFERROR(VLOOKUP(A98,Kardex!$A$1:$K$1498,8,FALSE),"")</f>
        <v>un</v>
      </c>
      <c r="I98" s="45">
        <f>IFERROR(VLOOKUP($A98,Kardex!$A$1:$L$1498,9,FALSE),"")</f>
        <v>0</v>
      </c>
      <c r="J98" s="45">
        <f>IFERROR(VLOOKUP($A98,Kardex!$A$1:$L$1498,10,FALSE),"")</f>
        <v>8</v>
      </c>
      <c r="K98" s="45">
        <f>IFERROR(VLOOKUP($A98,Kardex!$A$1:$L$1498,11,FALSE),"")</f>
        <v>0</v>
      </c>
      <c r="L98" s="45">
        <f>IFERROR(VLOOKUP($A98,Kardex!$A$1:$L$1498,12,FALSE),"")</f>
        <v>8</v>
      </c>
    </row>
    <row r="99" spans="1:12" ht="12.75" customHeight="1" x14ac:dyDescent="0.2">
      <c r="A99" s="18">
        <v>98</v>
      </c>
      <c r="B99" s="19" t="str">
        <f>IF(IFERROR(VLOOKUP(A99,Kardex!$A$1:$K$1498,2,FALSE),"")=0,"",IFERROR(VLOOKUP(A99,Kardex!$A$1:$K$1498,2,FALSE),""))</f>
        <v/>
      </c>
      <c r="C99" s="19" t="str">
        <f>IFERROR(VLOOKUP(A99,Kardex!$A$1:$K$1498,3,FALSE),"")</f>
        <v>Herramienta</v>
      </c>
      <c r="D99" s="20" t="str">
        <f>IFERROR(VLOOKUP(A99,Kardex!$A$1:$K$1498,4,FALSE),"")</f>
        <v>Taladro Bosch 3/8 inalámbrico</v>
      </c>
      <c r="E99" s="21" t="str">
        <f>IFERROR(VLOOKUP(A99,Kardex!$A$1:$K$1498,5,FALSE),"")</f>
        <v>Ar. Blanco</v>
      </c>
      <c r="F99" s="21">
        <f>IFERROR(VLOOKUP(A99,Kardex!$A$1:$K$1498,6,FALSE),"")</f>
        <v>0</v>
      </c>
      <c r="G99" s="21">
        <f>IFERROR(VLOOKUP(A99,Kardex!$A$1:$K$1498,7,FALSE),"")</f>
        <v>0</v>
      </c>
      <c r="H99" s="21" t="str">
        <f>IFERROR(VLOOKUP(A99,Kardex!$A$1:$K$1498,8,FALSE),"")</f>
        <v>un</v>
      </c>
      <c r="I99" s="45">
        <f>IFERROR(VLOOKUP($A99,Kardex!$A$1:$L$1498,9,FALSE),"")</f>
        <v>3</v>
      </c>
      <c r="J99" s="45">
        <f>IFERROR(VLOOKUP($A99,Kardex!$A$1:$L$1498,10,FALSE),"")</f>
        <v>0</v>
      </c>
      <c r="K99" s="45">
        <f>IFERROR(VLOOKUP($A99,Kardex!$A$1:$L$1498,11,FALSE),"")</f>
        <v>0</v>
      </c>
      <c r="L99" s="45">
        <f>IFERROR(VLOOKUP($A99,Kardex!$A$1:$L$1498,12,FALSE),"")</f>
        <v>3</v>
      </c>
    </row>
    <row r="100" spans="1:12" ht="12.75" customHeight="1" x14ac:dyDescent="0.2">
      <c r="A100" s="18">
        <v>99</v>
      </c>
      <c r="B100" s="19" t="str">
        <f>IF(IFERROR(VLOOKUP(A100,Kardex!$A$1:$K$1498,2,FALSE),"")=0,"",IFERROR(VLOOKUP(A100,Kardex!$A$1:$K$1498,2,FALSE),""))</f>
        <v/>
      </c>
      <c r="C100" s="19" t="str">
        <f>IFERROR(VLOOKUP(A100,Kardex!$A$1:$K$1498,3,FALSE),"")</f>
        <v>Herramienta</v>
      </c>
      <c r="D100" s="20" t="str">
        <f>IFERROR(VLOOKUP(A100,Kardex!$A$1:$K$1498,4,FALSE),"")</f>
        <v>Taladro Dewalt 3/8 inalámbrico</v>
      </c>
      <c r="E100" s="21" t="str">
        <f>IFERROR(VLOOKUP(A100,Kardex!$A$1:$K$1498,5,FALSE),"")</f>
        <v>Ar. Blanco</v>
      </c>
      <c r="F100" s="21">
        <f>IFERROR(VLOOKUP(A100,Kardex!$A$1:$K$1498,6,FALSE),"")</f>
        <v>0</v>
      </c>
      <c r="G100" s="21">
        <f>IFERROR(VLOOKUP(A100,Kardex!$A$1:$K$1498,7,FALSE),"")</f>
        <v>0</v>
      </c>
      <c r="H100" s="21" t="str">
        <f>IFERROR(VLOOKUP(A100,Kardex!$A$1:$K$1498,8,FALSE),"")</f>
        <v>un</v>
      </c>
      <c r="I100" s="45">
        <f>IFERROR(VLOOKUP($A100,Kardex!$A$1:$L$1498,9,FALSE),"")</f>
        <v>1</v>
      </c>
      <c r="J100" s="45">
        <f>IFERROR(VLOOKUP($A100,Kardex!$A$1:$L$1498,10,FALSE),"")</f>
        <v>0</v>
      </c>
      <c r="K100" s="45">
        <f>IFERROR(VLOOKUP($A100,Kardex!$A$1:$L$1498,11,FALSE),"")</f>
        <v>0</v>
      </c>
      <c r="L100" s="45">
        <f>IFERROR(VLOOKUP($A100,Kardex!$A$1:$L$1498,12,FALSE),"")</f>
        <v>1</v>
      </c>
    </row>
    <row r="101" spans="1:12" ht="12.75" customHeight="1" x14ac:dyDescent="0.2">
      <c r="A101" s="18">
        <v>100</v>
      </c>
      <c r="B101" s="19" t="str">
        <f>IF(IFERROR(VLOOKUP(A101,Kardex!$A$1:$K$1498,2,FALSE),"")=0,"",IFERROR(VLOOKUP(A101,Kardex!$A$1:$K$1498,2,FALSE),""))</f>
        <v/>
      </c>
      <c r="C101" s="19" t="str">
        <f>IFERROR(VLOOKUP(A101,Kardex!$A$1:$K$1498,3,FALSE),"")</f>
        <v>Herramienta</v>
      </c>
      <c r="D101" s="20" t="str">
        <f>IFERROR(VLOOKUP(A101,Kardex!$A$1:$K$1498,4,FALSE),"")</f>
        <v>Taladro Dewalt 1/2 inalámbrico</v>
      </c>
      <c r="E101" s="21" t="str">
        <f>IFERROR(VLOOKUP(A101,Kardex!$A$1:$K$1498,5,FALSE),"")</f>
        <v>Ar. Blanco</v>
      </c>
      <c r="F101" s="21">
        <f>IFERROR(VLOOKUP(A101,Kardex!$A$1:$K$1498,6,FALSE),"")</f>
        <v>0</v>
      </c>
      <c r="G101" s="21">
        <f>IFERROR(VLOOKUP(A101,Kardex!$A$1:$K$1498,7,FALSE),"")</f>
        <v>0</v>
      </c>
      <c r="H101" s="21" t="str">
        <f>IFERROR(VLOOKUP(A101,Kardex!$A$1:$K$1498,8,FALSE),"")</f>
        <v>un</v>
      </c>
      <c r="I101" s="45">
        <f>IFERROR(VLOOKUP($A101,Kardex!$A$1:$L$1498,9,FALSE),"")</f>
        <v>1</v>
      </c>
      <c r="J101" s="45">
        <f>IFERROR(VLOOKUP($A101,Kardex!$A$1:$L$1498,10,FALSE),"")</f>
        <v>1</v>
      </c>
      <c r="K101" s="45">
        <f>IFERROR(VLOOKUP($A101,Kardex!$A$1:$L$1498,11,FALSE),"")</f>
        <v>0</v>
      </c>
      <c r="L101" s="45">
        <f>IFERROR(VLOOKUP($A101,Kardex!$A$1:$L$1498,12,FALSE),"")</f>
        <v>2</v>
      </c>
    </row>
    <row r="102" spans="1:12" ht="12.75" customHeight="1" x14ac:dyDescent="0.2">
      <c r="A102" s="18">
        <v>101</v>
      </c>
      <c r="B102" s="19" t="str">
        <f>IF(IFERROR(VLOOKUP(A102,Kardex!$A$1:$K$1498,2,FALSE),"")=0,"",IFERROR(VLOOKUP(A102,Kardex!$A$1:$K$1498,2,FALSE),""))</f>
        <v/>
      </c>
      <c r="C102" s="19" t="str">
        <f>IFERROR(VLOOKUP(A102,Kardex!$A$1:$K$1498,3,FALSE),"")</f>
        <v>Herramienta</v>
      </c>
      <c r="D102" s="20" t="str">
        <f>IFERROR(VLOOKUP(A102,Kardex!$A$1:$K$1498,4,FALSE),"")</f>
        <v>Taladro percutor Dewalt 1/2 eléctrico</v>
      </c>
      <c r="E102" s="21" t="str">
        <f>IFERROR(VLOOKUP(A102,Kardex!$A$1:$K$1498,5,FALSE),"")</f>
        <v>Ar. Blanco</v>
      </c>
      <c r="F102" s="21">
        <f>IFERROR(VLOOKUP(A102,Kardex!$A$1:$K$1498,6,FALSE),"")</f>
        <v>0</v>
      </c>
      <c r="G102" s="21">
        <f>IFERROR(VLOOKUP(A102,Kardex!$A$1:$K$1498,7,FALSE),"")</f>
        <v>0</v>
      </c>
      <c r="H102" s="21" t="str">
        <f>IFERROR(VLOOKUP(A102,Kardex!$A$1:$K$1498,8,FALSE),"")</f>
        <v>un</v>
      </c>
      <c r="I102" s="45">
        <f>IFERROR(VLOOKUP($A102,Kardex!$A$1:$L$1498,9,FALSE),"")</f>
        <v>1</v>
      </c>
      <c r="J102" s="45">
        <f>IFERROR(VLOOKUP($A102,Kardex!$A$1:$L$1498,10,FALSE),"")</f>
        <v>0</v>
      </c>
      <c r="K102" s="45">
        <f>IFERROR(VLOOKUP($A102,Kardex!$A$1:$L$1498,11,FALSE),"")</f>
        <v>0</v>
      </c>
      <c r="L102" s="45">
        <f>IFERROR(VLOOKUP($A102,Kardex!$A$1:$L$1498,12,FALSE),"")</f>
        <v>1</v>
      </c>
    </row>
    <row r="103" spans="1:12" ht="12.75" customHeight="1" x14ac:dyDescent="0.2">
      <c r="A103" s="18">
        <v>102</v>
      </c>
      <c r="B103" s="19" t="str">
        <f>IF(IFERROR(VLOOKUP(A103,Kardex!$A$1:$K$1498,2,FALSE),"")=0,"",IFERROR(VLOOKUP(A103,Kardex!$A$1:$K$1498,2,FALSE),""))</f>
        <v/>
      </c>
      <c r="C103" s="19" t="str">
        <f>IFERROR(VLOOKUP(A103,Kardex!$A$1:$K$1498,3,FALSE),"")</f>
        <v>Herramienta</v>
      </c>
      <c r="D103" s="20" t="str">
        <f>IFERROR(VLOOKUP(A103,Kardex!$A$1:$K$1498,4,FALSE),"")</f>
        <v>Taladro percutor electrico 8000 wats de 1/2"</v>
      </c>
      <c r="E103" s="21" t="str">
        <f>IFERROR(VLOOKUP(A103,Kardex!$A$1:$K$1498,5,FALSE),"")</f>
        <v>Ar. Blanco</v>
      </c>
      <c r="F103" s="21">
        <f>IFERROR(VLOOKUP(A103,Kardex!$A$1:$K$1498,6,FALSE),"")</f>
        <v>0</v>
      </c>
      <c r="G103" s="21">
        <f>IFERROR(VLOOKUP(A103,Kardex!$A$1:$K$1498,7,FALSE),"")</f>
        <v>0</v>
      </c>
      <c r="H103" s="21" t="str">
        <f>IFERROR(VLOOKUP(A103,Kardex!$A$1:$K$1498,8,FALSE),"")</f>
        <v>un</v>
      </c>
      <c r="I103" s="45">
        <f>IFERROR(VLOOKUP($A103,Kardex!$A$1:$L$1498,9,FALSE),"")</f>
        <v>0</v>
      </c>
      <c r="J103" s="45">
        <f>IFERROR(VLOOKUP($A103,Kardex!$A$1:$L$1498,10,FALSE),"")</f>
        <v>1</v>
      </c>
      <c r="K103" s="45">
        <f>IFERROR(VLOOKUP($A103,Kardex!$A$1:$L$1498,11,FALSE),"")</f>
        <v>0</v>
      </c>
      <c r="L103" s="45">
        <f>IFERROR(VLOOKUP($A103,Kardex!$A$1:$L$1498,12,FALSE),"")</f>
        <v>1</v>
      </c>
    </row>
    <row r="104" spans="1:12" ht="12.75" customHeight="1" x14ac:dyDescent="0.2">
      <c r="A104" s="18">
        <v>103</v>
      </c>
      <c r="B104" s="19" t="str">
        <f>IF(IFERROR(VLOOKUP(A104,Kardex!$A$1:$K$1498,2,FALSE),"")=0,"",IFERROR(VLOOKUP(A104,Kardex!$A$1:$K$1498,2,FALSE),""))</f>
        <v/>
      </c>
      <c r="C104" s="19" t="str">
        <f>IFERROR(VLOOKUP(A104,Kardex!$A$1:$K$1498,3,FALSE),"")</f>
        <v>Herramienta</v>
      </c>
      <c r="D104" s="20" t="str">
        <f>IFERROR(VLOOKUP(A104,Kardex!$A$1:$K$1498,4,FALSE),"")</f>
        <v>Taladro percutor electrico DW505 de 1/2"</v>
      </c>
      <c r="E104" s="21" t="str">
        <f>IFERROR(VLOOKUP(A104,Kardex!$A$1:$K$1498,5,FALSE),"")</f>
        <v>Taller</v>
      </c>
      <c r="F104" s="21">
        <f>IFERROR(VLOOKUP(A104,Kardex!$A$1:$K$1498,6,FALSE),"")</f>
        <v>0</v>
      </c>
      <c r="G104" s="21">
        <f>IFERROR(VLOOKUP(A104,Kardex!$A$1:$K$1498,7,FALSE),"")</f>
        <v>0</v>
      </c>
      <c r="H104" s="21" t="str">
        <f>IFERROR(VLOOKUP(A104,Kardex!$A$1:$K$1498,8,FALSE),"")</f>
        <v>un</v>
      </c>
      <c r="I104" s="45">
        <f>IFERROR(VLOOKUP($A104,Kardex!$A$1:$L$1498,9,FALSE),"")</f>
        <v>1</v>
      </c>
      <c r="J104" s="45">
        <f>IFERROR(VLOOKUP($A104,Kardex!$A$1:$L$1498,10,FALSE),"")</f>
        <v>0</v>
      </c>
      <c r="K104" s="45">
        <f>IFERROR(VLOOKUP($A104,Kardex!$A$1:$L$1498,11,FALSE),"")</f>
        <v>0</v>
      </c>
      <c r="L104" s="45">
        <f>IFERROR(VLOOKUP($A104,Kardex!$A$1:$L$1498,12,FALSE),"")</f>
        <v>1</v>
      </c>
    </row>
    <row r="105" spans="1:12" ht="12.75" customHeight="1" x14ac:dyDescent="0.2">
      <c r="A105" s="18">
        <v>104</v>
      </c>
      <c r="B105" s="19" t="str">
        <f>IF(IFERROR(VLOOKUP(A105,Kardex!$A$1:$K$1498,2,FALSE),"")=0,"",IFERROR(VLOOKUP(A105,Kardex!$A$1:$K$1498,2,FALSE),""))</f>
        <v/>
      </c>
      <c r="C105" s="19" t="str">
        <f>IFERROR(VLOOKUP(A105,Kardex!$A$1:$K$1498,3,FALSE),"")</f>
        <v>Herramienta</v>
      </c>
      <c r="D105" s="20" t="str">
        <f>IFERROR(VLOOKUP(A105,Kardex!$A$1:$K$1498,4,FALSE),"")</f>
        <v>Destornillador inalambrico Makita</v>
      </c>
      <c r="E105" s="21" t="str">
        <f>IFERROR(VLOOKUP(A105,Kardex!$A$1:$K$1498,5,FALSE),"")</f>
        <v>Ar. Blanco</v>
      </c>
      <c r="F105" s="21">
        <f>IFERROR(VLOOKUP(A105,Kardex!$A$1:$K$1498,6,FALSE),"")</f>
        <v>0</v>
      </c>
      <c r="G105" s="21">
        <f>IFERROR(VLOOKUP(A105,Kardex!$A$1:$K$1498,7,FALSE),"")</f>
        <v>0</v>
      </c>
      <c r="H105" s="21" t="str">
        <f>IFERROR(VLOOKUP(A105,Kardex!$A$1:$K$1498,8,FALSE),"")</f>
        <v>un</v>
      </c>
      <c r="I105" s="45">
        <f>IFERROR(VLOOKUP($A105,Kardex!$A$1:$L$1498,9,FALSE),"")</f>
        <v>0</v>
      </c>
      <c r="J105" s="45">
        <f>IFERROR(VLOOKUP($A105,Kardex!$A$1:$L$1498,10,FALSE),"")</f>
        <v>2</v>
      </c>
      <c r="K105" s="45">
        <f>IFERROR(VLOOKUP($A105,Kardex!$A$1:$L$1498,11,FALSE),"")</f>
        <v>0</v>
      </c>
      <c r="L105" s="45">
        <f>IFERROR(VLOOKUP($A105,Kardex!$A$1:$L$1498,12,FALSE),"")</f>
        <v>2</v>
      </c>
    </row>
    <row r="106" spans="1:12" ht="12.75" customHeight="1" x14ac:dyDescent="0.2">
      <c r="A106" s="18">
        <v>105</v>
      </c>
      <c r="B106" s="19" t="str">
        <f>IF(IFERROR(VLOOKUP(A106,Kardex!$A$1:$K$1498,2,FALSE),"")=0,"",IFERROR(VLOOKUP(A106,Kardex!$A$1:$K$1498,2,FALSE),""))</f>
        <v/>
      </c>
      <c r="C106" s="19" t="str">
        <f>IFERROR(VLOOKUP(A106,Kardex!$A$1:$K$1498,3,FALSE),"")</f>
        <v>Herramienta</v>
      </c>
      <c r="D106" s="20" t="str">
        <f>IFERROR(VLOOKUP(A106,Kardex!$A$1:$K$1498,4,FALSE),"")</f>
        <v>Cargado Bosch</v>
      </c>
      <c r="E106" s="21" t="str">
        <f>IFERROR(VLOOKUP(A106,Kardex!$A$1:$K$1498,5,FALSE),"")</f>
        <v>Ar. Blanco</v>
      </c>
      <c r="F106" s="21">
        <f>IFERROR(VLOOKUP(A106,Kardex!$A$1:$K$1498,6,FALSE),"")</f>
        <v>0</v>
      </c>
      <c r="G106" s="21">
        <f>IFERROR(VLOOKUP(A106,Kardex!$A$1:$K$1498,7,FALSE),"")</f>
        <v>0</v>
      </c>
      <c r="H106" s="21" t="str">
        <f>IFERROR(VLOOKUP(A106,Kardex!$A$1:$K$1498,8,FALSE),"")</f>
        <v>un</v>
      </c>
      <c r="I106" s="45">
        <f>IFERROR(VLOOKUP($A106,Kardex!$A$1:$L$1498,9,FALSE),"")</f>
        <v>1</v>
      </c>
      <c r="J106" s="45">
        <f>IFERROR(VLOOKUP($A106,Kardex!$A$1:$L$1498,10,FALSE),"")</f>
        <v>0</v>
      </c>
      <c r="K106" s="45">
        <f>IFERROR(VLOOKUP($A106,Kardex!$A$1:$L$1498,11,FALSE),"")</f>
        <v>0</v>
      </c>
      <c r="L106" s="45">
        <f>IFERROR(VLOOKUP($A106,Kardex!$A$1:$L$1498,12,FALSE),"")</f>
        <v>1</v>
      </c>
    </row>
    <row r="107" spans="1:12" ht="12.75" customHeight="1" x14ac:dyDescent="0.2">
      <c r="A107" s="18">
        <v>106</v>
      </c>
      <c r="B107" s="19" t="str">
        <f>IF(IFERROR(VLOOKUP(A107,Kardex!$A$1:$K$1498,2,FALSE),"")=0,"",IFERROR(VLOOKUP(A107,Kardex!$A$1:$K$1498,2,FALSE),""))</f>
        <v/>
      </c>
      <c r="C107" s="19" t="str">
        <f>IFERROR(VLOOKUP(A107,Kardex!$A$1:$K$1498,3,FALSE),"")</f>
        <v>Herramienta</v>
      </c>
      <c r="D107" s="20" t="str">
        <f>IFERROR(VLOOKUP(A107,Kardex!$A$1:$K$1498,4,FALSE),"")</f>
        <v>Cargado Dewalt DCB107</v>
      </c>
      <c r="E107" s="21" t="str">
        <f>IFERROR(VLOOKUP(A107,Kardex!$A$1:$K$1498,5,FALSE),"")</f>
        <v>Ar. Blanco</v>
      </c>
      <c r="F107" s="21">
        <f>IFERROR(VLOOKUP(A107,Kardex!$A$1:$K$1498,6,FALSE),"")</f>
        <v>0</v>
      </c>
      <c r="G107" s="21">
        <f>IFERROR(VLOOKUP(A107,Kardex!$A$1:$K$1498,7,FALSE),"")</f>
        <v>0</v>
      </c>
      <c r="H107" s="21" t="str">
        <f>IFERROR(VLOOKUP(A107,Kardex!$A$1:$K$1498,8,FALSE),"")</f>
        <v>un</v>
      </c>
      <c r="I107" s="45">
        <f>IFERROR(VLOOKUP($A107,Kardex!$A$1:$L$1498,9,FALSE),"")</f>
        <v>3</v>
      </c>
      <c r="J107" s="45">
        <f>IFERROR(VLOOKUP($A107,Kardex!$A$1:$L$1498,10,FALSE),"")</f>
        <v>0</v>
      </c>
      <c r="K107" s="45">
        <f>IFERROR(VLOOKUP($A107,Kardex!$A$1:$L$1498,11,FALSE),"")</f>
        <v>0</v>
      </c>
      <c r="L107" s="45">
        <f>IFERROR(VLOOKUP($A107,Kardex!$A$1:$L$1498,12,FALSE),"")</f>
        <v>3</v>
      </c>
    </row>
    <row r="108" spans="1:12" ht="12.75" customHeight="1" x14ac:dyDescent="0.2">
      <c r="A108" s="18">
        <v>107</v>
      </c>
      <c r="B108" s="19" t="str">
        <f>IF(IFERROR(VLOOKUP(A108,Kardex!$A$1:$K$1498,2,FALSE),"")=0,"",IFERROR(VLOOKUP(A108,Kardex!$A$1:$K$1498,2,FALSE),""))</f>
        <v/>
      </c>
      <c r="C108" s="19" t="str">
        <f>IFERROR(VLOOKUP(A108,Kardex!$A$1:$K$1498,3,FALSE),"")</f>
        <v>Herramienta</v>
      </c>
      <c r="D108" s="20" t="str">
        <f>IFERROR(VLOOKUP(A108,Kardex!$A$1:$K$1498,4,FALSE),"")</f>
        <v>Batería DCB120</v>
      </c>
      <c r="E108" s="21" t="str">
        <f>IFERROR(VLOOKUP(A108,Kardex!$A$1:$K$1498,5,FALSE),"")</f>
        <v>Ar. Blanco</v>
      </c>
      <c r="F108" s="21">
        <f>IFERROR(VLOOKUP(A108,Kardex!$A$1:$K$1498,6,FALSE),"")</f>
        <v>0</v>
      </c>
      <c r="G108" s="21">
        <f>IFERROR(VLOOKUP(A108,Kardex!$A$1:$K$1498,7,FALSE),"")</f>
        <v>0</v>
      </c>
      <c r="H108" s="21" t="str">
        <f>IFERROR(VLOOKUP(A108,Kardex!$A$1:$K$1498,8,FALSE),"")</f>
        <v>un</v>
      </c>
      <c r="I108" s="45">
        <f>IFERROR(VLOOKUP($A108,Kardex!$A$1:$L$1498,9,FALSE),"")</f>
        <v>2</v>
      </c>
      <c r="J108" s="45">
        <f>IFERROR(VLOOKUP($A108,Kardex!$A$1:$L$1498,10,FALSE),"")</f>
        <v>0</v>
      </c>
      <c r="K108" s="45">
        <f>IFERROR(VLOOKUP($A108,Kardex!$A$1:$L$1498,11,FALSE),"")</f>
        <v>0</v>
      </c>
      <c r="L108" s="45">
        <f>IFERROR(VLOOKUP($A108,Kardex!$A$1:$L$1498,12,FALSE),"")</f>
        <v>2</v>
      </c>
    </row>
    <row r="109" spans="1:12" ht="12.75" customHeight="1" x14ac:dyDescent="0.2">
      <c r="A109" s="18">
        <v>108</v>
      </c>
      <c r="B109" s="19" t="str">
        <f>IF(IFERROR(VLOOKUP(A109,Kardex!$A$1:$K$1498,2,FALSE),"")=0,"",IFERROR(VLOOKUP(A109,Kardex!$A$1:$K$1498,2,FALSE),""))</f>
        <v/>
      </c>
      <c r="C109" s="19" t="str">
        <f>IFERROR(VLOOKUP(A109,Kardex!$A$1:$K$1498,3,FALSE),"")</f>
        <v>Herramienta</v>
      </c>
      <c r="D109" s="20" t="str">
        <f>IFERROR(VLOOKUP(A109,Kardex!$A$1:$K$1498,4,FALSE),"")</f>
        <v>Pulidora angular 4 1/2</v>
      </c>
      <c r="E109" s="21" t="str">
        <f>IFERROR(VLOOKUP(A109,Kardex!$A$1:$K$1498,5,FALSE),"")</f>
        <v>Ar. Blanco</v>
      </c>
      <c r="F109" s="21">
        <f>IFERROR(VLOOKUP(A109,Kardex!$A$1:$K$1498,6,FALSE),"")</f>
        <v>0</v>
      </c>
      <c r="G109" s="21">
        <f>IFERROR(VLOOKUP(A109,Kardex!$A$1:$K$1498,7,FALSE),"")</f>
        <v>0</v>
      </c>
      <c r="H109" s="21" t="str">
        <f>IFERROR(VLOOKUP(A109,Kardex!$A$1:$K$1498,8,FALSE),"")</f>
        <v>un</v>
      </c>
      <c r="I109" s="45">
        <f>IFERROR(VLOOKUP($A109,Kardex!$A$1:$L$1498,9,FALSE),"")</f>
        <v>0</v>
      </c>
      <c r="J109" s="45">
        <f>IFERROR(VLOOKUP($A109,Kardex!$A$1:$L$1498,10,FALSE),"")</f>
        <v>1</v>
      </c>
      <c r="K109" s="45">
        <f>IFERROR(VLOOKUP($A109,Kardex!$A$1:$L$1498,11,FALSE),"")</f>
        <v>0</v>
      </c>
      <c r="L109" s="45">
        <f>IFERROR(VLOOKUP($A109,Kardex!$A$1:$L$1498,12,FALSE),"")</f>
        <v>1</v>
      </c>
    </row>
    <row r="110" spans="1:12" ht="12.75" customHeight="1" x14ac:dyDescent="0.2">
      <c r="A110" s="18">
        <v>109</v>
      </c>
      <c r="B110" s="19" t="str">
        <f>IF(IFERROR(VLOOKUP(A110,Kardex!$A$1:$K$1498,2,FALSE),"")=0,"",IFERROR(VLOOKUP(A110,Kardex!$A$1:$K$1498,2,FALSE),""))</f>
        <v/>
      </c>
      <c r="C110" s="19" t="str">
        <f>IFERROR(VLOOKUP(A110,Kardex!$A$1:$K$1498,3,FALSE),"")</f>
        <v>Herramienta</v>
      </c>
      <c r="D110" s="20" t="str">
        <f>IFERROR(VLOOKUP(A110,Kardex!$A$1:$K$1498,4,FALSE),"")</f>
        <v>Destornillador de estrella 8 plgs</v>
      </c>
      <c r="E110" s="21" t="str">
        <f>IFERROR(VLOOKUP(A110,Kardex!$A$1:$K$1498,5,FALSE),"")</f>
        <v>Ar. Blanco</v>
      </c>
      <c r="F110" s="21">
        <f>IFERROR(VLOOKUP(A110,Kardex!$A$1:$K$1498,6,FALSE),"")</f>
        <v>0</v>
      </c>
      <c r="G110" s="21">
        <f>IFERROR(VLOOKUP(A110,Kardex!$A$1:$K$1498,7,FALSE),"")</f>
        <v>0</v>
      </c>
      <c r="H110" s="21" t="str">
        <f>IFERROR(VLOOKUP(A110,Kardex!$A$1:$K$1498,8,FALSE),"")</f>
        <v>un</v>
      </c>
      <c r="I110" s="45">
        <f>IFERROR(VLOOKUP($A110,Kardex!$A$1:$L$1498,9,FALSE),"")</f>
        <v>1</v>
      </c>
      <c r="J110" s="45">
        <f>IFERROR(VLOOKUP($A110,Kardex!$A$1:$L$1498,10,FALSE),"")</f>
        <v>0</v>
      </c>
      <c r="K110" s="45">
        <f>IFERROR(VLOOKUP($A110,Kardex!$A$1:$L$1498,11,FALSE),"")</f>
        <v>0</v>
      </c>
      <c r="L110" s="45">
        <f>IFERROR(VLOOKUP($A110,Kardex!$A$1:$L$1498,12,FALSE),"")</f>
        <v>1</v>
      </c>
    </row>
    <row r="111" spans="1:12" ht="12.75" customHeight="1" x14ac:dyDescent="0.2">
      <c r="A111" s="18">
        <v>110</v>
      </c>
      <c r="B111" s="19" t="str">
        <f>IF(IFERROR(VLOOKUP(A111,Kardex!$A$1:$K$1498,2,FALSE),"")=0,"",IFERROR(VLOOKUP(A111,Kardex!$A$1:$K$1498,2,FALSE),""))</f>
        <v/>
      </c>
      <c r="C111" s="19" t="str">
        <f>IFERROR(VLOOKUP(A111,Kardex!$A$1:$K$1498,3,FALSE),"")</f>
        <v>Herramienta</v>
      </c>
      <c r="D111" s="20" t="str">
        <f>IFERROR(VLOOKUP(A111,Kardex!$A$1:$K$1498,4,FALSE),"")</f>
        <v>Destornillador de estrella de 6 plgs</v>
      </c>
      <c r="E111" s="21" t="str">
        <f>IFERROR(VLOOKUP(A111,Kardex!$A$1:$K$1498,5,FALSE),"")</f>
        <v>Ar. Blanco</v>
      </c>
      <c r="F111" s="21">
        <f>IFERROR(VLOOKUP(A111,Kardex!$A$1:$K$1498,6,FALSE),"")</f>
        <v>0</v>
      </c>
      <c r="G111" s="21">
        <f>IFERROR(VLOOKUP(A111,Kardex!$A$1:$K$1498,7,FALSE),"")</f>
        <v>0</v>
      </c>
      <c r="H111" s="21" t="str">
        <f>IFERROR(VLOOKUP(A111,Kardex!$A$1:$K$1498,8,FALSE),"")</f>
        <v>un</v>
      </c>
      <c r="I111" s="45">
        <f>IFERROR(VLOOKUP($A111,Kardex!$A$1:$L$1498,9,FALSE),"")</f>
        <v>4</v>
      </c>
      <c r="J111" s="45">
        <f>IFERROR(VLOOKUP($A111,Kardex!$A$1:$L$1498,10,FALSE),"")</f>
        <v>0</v>
      </c>
      <c r="K111" s="45">
        <f>IFERROR(VLOOKUP($A111,Kardex!$A$1:$L$1498,11,FALSE),"")</f>
        <v>0</v>
      </c>
      <c r="L111" s="45">
        <f>IFERROR(VLOOKUP($A111,Kardex!$A$1:$L$1498,12,FALSE),"")</f>
        <v>4</v>
      </c>
    </row>
    <row r="112" spans="1:12" ht="12.75" customHeight="1" x14ac:dyDescent="0.2">
      <c r="A112" s="18">
        <v>111</v>
      </c>
      <c r="B112" s="19" t="str">
        <f>IF(IFERROR(VLOOKUP(A112,Kardex!$A$1:$K$1498,2,FALSE),"")=0,"",IFERROR(VLOOKUP(A112,Kardex!$A$1:$K$1498,2,FALSE),""))</f>
        <v/>
      </c>
      <c r="C112" s="19" t="str">
        <f>IFERROR(VLOOKUP(A112,Kardex!$A$1:$K$1498,3,FALSE),"")</f>
        <v>Herramienta</v>
      </c>
      <c r="D112" s="20" t="str">
        <f>IFERROR(VLOOKUP(A112,Kardex!$A$1:$K$1498,4,FALSE),"")</f>
        <v>Destornillador plano de 6 plgs</v>
      </c>
      <c r="E112" s="21" t="str">
        <f>IFERROR(VLOOKUP(A112,Kardex!$A$1:$K$1498,5,FALSE),"")</f>
        <v>Ar. Blanco</v>
      </c>
      <c r="F112" s="21">
        <f>IFERROR(VLOOKUP(A112,Kardex!$A$1:$K$1498,6,FALSE),"")</f>
        <v>0</v>
      </c>
      <c r="G112" s="21">
        <f>IFERROR(VLOOKUP(A112,Kardex!$A$1:$K$1498,7,FALSE),"")</f>
        <v>0</v>
      </c>
      <c r="H112" s="21" t="str">
        <f>IFERROR(VLOOKUP(A112,Kardex!$A$1:$K$1498,8,FALSE),"")</f>
        <v>un</v>
      </c>
      <c r="I112" s="45">
        <f>IFERROR(VLOOKUP($A112,Kardex!$A$1:$L$1498,9,FALSE),"")</f>
        <v>2</v>
      </c>
      <c r="J112" s="45">
        <f>IFERROR(VLOOKUP($A112,Kardex!$A$1:$L$1498,10,FALSE),"")</f>
        <v>1</v>
      </c>
      <c r="K112" s="45">
        <f>IFERROR(VLOOKUP($A112,Kardex!$A$1:$L$1498,11,FALSE),"")</f>
        <v>0</v>
      </c>
      <c r="L112" s="45">
        <f>IFERROR(VLOOKUP($A112,Kardex!$A$1:$L$1498,12,FALSE),"")</f>
        <v>3</v>
      </c>
    </row>
    <row r="113" spans="1:12" ht="12.75" customHeight="1" x14ac:dyDescent="0.2">
      <c r="A113" s="18">
        <v>112</v>
      </c>
      <c r="B113" s="19" t="str">
        <f>IF(IFERROR(VLOOKUP(A113,Kardex!$A$1:$K$1498,2,FALSE),"")=0,"",IFERROR(VLOOKUP(A113,Kardex!$A$1:$K$1498,2,FALSE),""))</f>
        <v/>
      </c>
      <c r="C113" s="19" t="str">
        <f>IFERROR(VLOOKUP(A113,Kardex!$A$1:$K$1498,3,FALSE),"")</f>
        <v>Herramienta</v>
      </c>
      <c r="D113" s="20" t="str">
        <f>IFERROR(VLOOKUP(A113,Kardex!$A$1:$K$1498,4,FALSE),"")</f>
        <v>Destornillador plano y estrella</v>
      </c>
      <c r="E113" s="21" t="str">
        <f>IFERROR(VLOOKUP(A113,Kardex!$A$1:$K$1498,5,FALSE),"")</f>
        <v>Ar. Blanco</v>
      </c>
      <c r="F113" s="21">
        <f>IFERROR(VLOOKUP(A113,Kardex!$A$1:$K$1498,6,FALSE),"")</f>
        <v>0</v>
      </c>
      <c r="G113" s="21">
        <f>IFERROR(VLOOKUP(A113,Kardex!$A$1:$K$1498,7,FALSE),"")</f>
        <v>0</v>
      </c>
      <c r="H113" s="21" t="str">
        <f>IFERROR(VLOOKUP(A113,Kardex!$A$1:$K$1498,8,FALSE),"")</f>
        <v>un</v>
      </c>
      <c r="I113" s="45">
        <f>IFERROR(VLOOKUP($A113,Kardex!$A$1:$L$1498,9,FALSE),"")</f>
        <v>0</v>
      </c>
      <c r="J113" s="45">
        <f>IFERROR(VLOOKUP($A113,Kardex!$A$1:$L$1498,10,FALSE),"")</f>
        <v>1</v>
      </c>
      <c r="K113" s="45">
        <f>IFERROR(VLOOKUP($A113,Kardex!$A$1:$L$1498,11,FALSE),"")</f>
        <v>0</v>
      </c>
      <c r="L113" s="45">
        <f>IFERROR(VLOOKUP($A113,Kardex!$A$1:$L$1498,12,FALSE),"")</f>
        <v>1</v>
      </c>
    </row>
    <row r="114" spans="1:12" ht="12.75" customHeight="1" x14ac:dyDescent="0.2">
      <c r="A114" s="18">
        <v>113</v>
      </c>
      <c r="B114" s="19" t="str">
        <f>IF(IFERROR(VLOOKUP(A114,Kardex!$A$1:$K$1498,2,FALSE),"")=0,"",IFERROR(VLOOKUP(A114,Kardex!$A$1:$K$1498,2,FALSE),""))</f>
        <v/>
      </c>
      <c r="C114" s="19" t="str">
        <f>IFERROR(VLOOKUP(A114,Kardex!$A$1:$K$1498,3,FALSE),"")</f>
        <v>Herramienta</v>
      </c>
      <c r="D114" s="20" t="str">
        <f>IFERROR(VLOOKUP(A114,Kardex!$A$1:$K$1498,4,FALSE),"")</f>
        <v>Tester</v>
      </c>
      <c r="E114" s="21" t="str">
        <f>IFERROR(VLOOKUP(A114,Kardex!$A$1:$K$1498,5,FALSE),"")</f>
        <v>Ar. Blanco</v>
      </c>
      <c r="F114" s="21">
        <f>IFERROR(VLOOKUP(A114,Kardex!$A$1:$K$1498,6,FALSE),"")</f>
        <v>0</v>
      </c>
      <c r="G114" s="21">
        <f>IFERROR(VLOOKUP(A114,Kardex!$A$1:$K$1498,7,FALSE),"")</f>
        <v>0</v>
      </c>
      <c r="H114" s="21" t="str">
        <f>IFERROR(VLOOKUP(A114,Kardex!$A$1:$K$1498,8,FALSE),"")</f>
        <v>un</v>
      </c>
      <c r="I114" s="45">
        <f>IFERROR(VLOOKUP($A114,Kardex!$A$1:$L$1498,9,FALSE),"")</f>
        <v>1</v>
      </c>
      <c r="J114" s="45">
        <f>IFERROR(VLOOKUP($A114,Kardex!$A$1:$L$1498,10,FALSE),"")</f>
        <v>0</v>
      </c>
      <c r="K114" s="45">
        <f>IFERROR(VLOOKUP($A114,Kardex!$A$1:$L$1498,11,FALSE),"")</f>
        <v>0</v>
      </c>
      <c r="L114" s="45">
        <f>IFERROR(VLOOKUP($A114,Kardex!$A$1:$L$1498,12,FALSE),"")</f>
        <v>1</v>
      </c>
    </row>
    <row r="115" spans="1:12" ht="12.75" customHeight="1" x14ac:dyDescent="0.2">
      <c r="A115" s="18">
        <v>114</v>
      </c>
      <c r="B115" s="19" t="str">
        <f>IF(IFERROR(VLOOKUP(A115,Kardex!$A$1:$K$1498,2,FALSE),"")=0,"",IFERROR(VLOOKUP(A115,Kardex!$A$1:$K$1498,2,FALSE),""))</f>
        <v/>
      </c>
      <c r="C115" s="19" t="str">
        <f>IFERROR(VLOOKUP(A115,Kardex!$A$1:$K$1498,3,FALSE),"")</f>
        <v>Herramienta</v>
      </c>
      <c r="D115" s="20" t="str">
        <f>IFERROR(VLOOKUP(A115,Kardex!$A$1:$K$1498,4,FALSE),"")</f>
        <v>Lima triangular 6"</v>
      </c>
      <c r="E115" s="21" t="str">
        <f>IFERROR(VLOOKUP(A115,Kardex!$A$1:$K$1498,5,FALSE),"")</f>
        <v>Ar. Blanco</v>
      </c>
      <c r="F115" s="21">
        <f>IFERROR(VLOOKUP(A115,Kardex!$A$1:$K$1498,6,FALSE),"")</f>
        <v>0</v>
      </c>
      <c r="G115" s="21">
        <f>IFERROR(VLOOKUP(A115,Kardex!$A$1:$K$1498,7,FALSE),"")</f>
        <v>0</v>
      </c>
      <c r="H115" s="21" t="str">
        <f>IFERROR(VLOOKUP(A115,Kardex!$A$1:$K$1498,8,FALSE),"")</f>
        <v>un</v>
      </c>
      <c r="I115" s="45">
        <f>IFERROR(VLOOKUP($A115,Kardex!$A$1:$L$1498,9,FALSE),"")</f>
        <v>0</v>
      </c>
      <c r="J115" s="45">
        <f>IFERROR(VLOOKUP($A115,Kardex!$A$1:$L$1498,10,FALSE),"")</f>
        <v>2</v>
      </c>
      <c r="K115" s="45">
        <f>IFERROR(VLOOKUP($A115,Kardex!$A$1:$L$1498,11,FALSE),"")</f>
        <v>0</v>
      </c>
      <c r="L115" s="45">
        <f>IFERROR(VLOOKUP($A115,Kardex!$A$1:$L$1498,12,FALSE),"")</f>
        <v>2</v>
      </c>
    </row>
    <row r="116" spans="1:12" ht="12.75" customHeight="1" x14ac:dyDescent="0.2">
      <c r="A116" s="18">
        <v>115</v>
      </c>
      <c r="B116" s="19" t="str">
        <f>IF(IFERROR(VLOOKUP(A116,Kardex!$A$1:$K$1498,2,FALSE),"")=0,"",IFERROR(VLOOKUP(A116,Kardex!$A$1:$K$1498,2,FALSE),""))</f>
        <v/>
      </c>
      <c r="C116" s="19" t="str">
        <f>IFERROR(VLOOKUP(A116,Kardex!$A$1:$K$1498,3,FALSE),"")</f>
        <v>Herramienta</v>
      </c>
      <c r="D116" s="20" t="str">
        <f>IFERROR(VLOOKUP(A116,Kardex!$A$1:$K$1498,4,FALSE),"")</f>
        <v>Lima media caña fina 8"</v>
      </c>
      <c r="E116" s="21" t="str">
        <f>IFERROR(VLOOKUP(A116,Kardex!$A$1:$K$1498,5,FALSE),"")</f>
        <v>Ar. Blanco</v>
      </c>
      <c r="F116" s="21">
        <f>IFERROR(VLOOKUP(A116,Kardex!$A$1:$K$1498,6,FALSE),"")</f>
        <v>0</v>
      </c>
      <c r="G116" s="21">
        <f>IFERROR(VLOOKUP(A116,Kardex!$A$1:$K$1498,7,FALSE),"")</f>
        <v>0</v>
      </c>
      <c r="H116" s="21" t="str">
        <f>IFERROR(VLOOKUP(A116,Kardex!$A$1:$K$1498,8,FALSE),"")</f>
        <v>un</v>
      </c>
      <c r="I116" s="45">
        <f>IFERROR(VLOOKUP($A116,Kardex!$A$1:$L$1498,9,FALSE),"")</f>
        <v>0</v>
      </c>
      <c r="J116" s="45">
        <f>IFERROR(VLOOKUP($A116,Kardex!$A$1:$L$1498,10,FALSE),"")</f>
        <v>2</v>
      </c>
      <c r="K116" s="45">
        <f>IFERROR(VLOOKUP($A116,Kardex!$A$1:$L$1498,11,FALSE),"")</f>
        <v>0</v>
      </c>
      <c r="L116" s="45">
        <f>IFERROR(VLOOKUP($A116,Kardex!$A$1:$L$1498,12,FALSE),"")</f>
        <v>2</v>
      </c>
    </row>
    <row r="117" spans="1:12" ht="12.75" customHeight="1" x14ac:dyDescent="0.2">
      <c r="A117" s="18">
        <v>116</v>
      </c>
      <c r="B117" s="19" t="str">
        <f>IF(IFERROR(VLOOKUP(A117,Kardex!$A$1:$K$1498,2,FALSE),"")=0,"",IFERROR(VLOOKUP(A117,Kardex!$A$1:$K$1498,2,FALSE),""))</f>
        <v/>
      </c>
      <c r="C117" s="19" t="str">
        <f>IFERROR(VLOOKUP(A117,Kardex!$A$1:$K$1498,3,FALSE),"")</f>
        <v>Herramienta</v>
      </c>
      <c r="D117" s="20" t="str">
        <f>IFERROR(VLOOKUP(A117,Kardex!$A$1:$K$1498,4,FALSE),"")</f>
        <v>Lima media caña fina 6"</v>
      </c>
      <c r="E117" s="21" t="str">
        <f>IFERROR(VLOOKUP(A117,Kardex!$A$1:$K$1498,5,FALSE),"")</f>
        <v>Ar. Blanco</v>
      </c>
      <c r="F117" s="21">
        <f>IFERROR(VLOOKUP(A117,Kardex!$A$1:$K$1498,6,FALSE),"")</f>
        <v>0</v>
      </c>
      <c r="G117" s="21">
        <f>IFERROR(VLOOKUP(A117,Kardex!$A$1:$K$1498,7,FALSE),"")</f>
        <v>0</v>
      </c>
      <c r="H117" s="21" t="str">
        <f>IFERROR(VLOOKUP(A117,Kardex!$A$1:$K$1498,8,FALSE),"")</f>
        <v>un</v>
      </c>
      <c r="I117" s="45">
        <f>IFERROR(VLOOKUP($A117,Kardex!$A$1:$L$1498,9,FALSE),"")</f>
        <v>2</v>
      </c>
      <c r="J117" s="45">
        <f>IFERROR(VLOOKUP($A117,Kardex!$A$1:$L$1498,10,FALSE),"")</f>
        <v>0</v>
      </c>
      <c r="K117" s="45">
        <f>IFERROR(VLOOKUP($A117,Kardex!$A$1:$L$1498,11,FALSE),"")</f>
        <v>0</v>
      </c>
      <c r="L117" s="45">
        <f>IFERROR(VLOOKUP($A117,Kardex!$A$1:$L$1498,12,FALSE),"")</f>
        <v>2</v>
      </c>
    </row>
    <row r="118" spans="1:12" ht="12.75" customHeight="1" x14ac:dyDescent="0.2">
      <c r="A118" s="18">
        <v>117</v>
      </c>
      <c r="B118" s="19" t="str">
        <f>IF(IFERROR(VLOOKUP(A118,Kardex!$A$1:$K$1498,2,FALSE),"")=0,"",IFERROR(VLOOKUP(A118,Kardex!$A$1:$K$1498,2,FALSE),""))</f>
        <v/>
      </c>
      <c r="C118" s="19" t="str">
        <f>IFERROR(VLOOKUP(A118,Kardex!$A$1:$K$1498,3,FALSE),"")</f>
        <v>Herramienta</v>
      </c>
      <c r="D118" s="20" t="str">
        <f>IFERROR(VLOOKUP(A118,Kardex!$A$1:$K$1498,4,FALSE),"")</f>
        <v>Lima plana cornete 8"</v>
      </c>
      <c r="E118" s="21" t="str">
        <f>IFERROR(VLOOKUP(A118,Kardex!$A$1:$K$1498,5,FALSE),"")</f>
        <v>Ar. Blanco</v>
      </c>
      <c r="F118" s="21">
        <f>IFERROR(VLOOKUP(A118,Kardex!$A$1:$K$1498,6,FALSE),"")</f>
        <v>0</v>
      </c>
      <c r="G118" s="21">
        <f>IFERROR(VLOOKUP(A118,Kardex!$A$1:$K$1498,7,FALSE),"")</f>
        <v>0</v>
      </c>
      <c r="H118" s="21" t="str">
        <f>IFERROR(VLOOKUP(A118,Kardex!$A$1:$K$1498,8,FALSE),"")</f>
        <v>un</v>
      </c>
      <c r="I118" s="45">
        <f>IFERROR(VLOOKUP($A118,Kardex!$A$1:$L$1498,9,FALSE),"")</f>
        <v>0</v>
      </c>
      <c r="J118" s="45">
        <f>IFERROR(VLOOKUP($A118,Kardex!$A$1:$L$1498,10,FALSE),"")</f>
        <v>1</v>
      </c>
      <c r="K118" s="45">
        <f>IFERROR(VLOOKUP($A118,Kardex!$A$1:$L$1498,11,FALSE),"")</f>
        <v>0</v>
      </c>
      <c r="L118" s="45">
        <f>IFERROR(VLOOKUP($A118,Kardex!$A$1:$L$1498,12,FALSE),"")</f>
        <v>1</v>
      </c>
    </row>
    <row r="119" spans="1:12" ht="12.75" customHeight="1" x14ac:dyDescent="0.2">
      <c r="A119" s="18">
        <v>118</v>
      </c>
      <c r="B119" s="19" t="str">
        <f>IF(IFERROR(VLOOKUP(A119,Kardex!$A$1:$K$1498,2,FALSE),"")=0,"",IFERROR(VLOOKUP(A119,Kardex!$A$1:$K$1498,2,FALSE),""))</f>
        <v/>
      </c>
      <c r="C119" s="19" t="str">
        <f>IFERROR(VLOOKUP(A119,Kardex!$A$1:$K$1498,3,FALSE),"")</f>
        <v>Herramienta</v>
      </c>
      <c r="D119" s="20" t="str">
        <f>IFERROR(VLOOKUP(A119,Kardex!$A$1:$K$1498,4,FALSE),"")</f>
        <v>Lima cuchillo 8"</v>
      </c>
      <c r="E119" s="21" t="str">
        <f>IFERROR(VLOOKUP(A119,Kardex!$A$1:$K$1498,5,FALSE),"")</f>
        <v>Ar. Blanco</v>
      </c>
      <c r="F119" s="21">
        <f>IFERROR(VLOOKUP(A119,Kardex!$A$1:$K$1498,6,FALSE),"")</f>
        <v>0</v>
      </c>
      <c r="G119" s="21">
        <f>IFERROR(VLOOKUP(A119,Kardex!$A$1:$K$1498,7,FALSE),"")</f>
        <v>0</v>
      </c>
      <c r="H119" s="21" t="str">
        <f>IFERROR(VLOOKUP(A119,Kardex!$A$1:$K$1498,8,FALSE),"")</f>
        <v>un</v>
      </c>
      <c r="I119" s="45">
        <f>IFERROR(VLOOKUP($A119,Kardex!$A$1:$L$1498,9,FALSE),"")</f>
        <v>1</v>
      </c>
      <c r="J119" s="45">
        <f>IFERROR(VLOOKUP($A119,Kardex!$A$1:$L$1498,10,FALSE),"")</f>
        <v>0</v>
      </c>
      <c r="K119" s="45">
        <f>IFERROR(VLOOKUP($A119,Kardex!$A$1:$L$1498,11,FALSE),"")</f>
        <v>0</v>
      </c>
      <c r="L119" s="45">
        <f>IFERROR(VLOOKUP($A119,Kardex!$A$1:$L$1498,12,FALSE),"")</f>
        <v>1</v>
      </c>
    </row>
    <row r="120" spans="1:12" ht="12.75" customHeight="1" x14ac:dyDescent="0.2">
      <c r="A120" s="18">
        <v>119</v>
      </c>
      <c r="B120" s="19" t="str">
        <f>IF(IFERROR(VLOOKUP(A120,Kardex!$A$1:$K$1498,2,FALSE),"")=0,"",IFERROR(VLOOKUP(A120,Kardex!$A$1:$K$1498,2,FALSE),""))</f>
        <v/>
      </c>
      <c r="C120" s="19" t="str">
        <f>IFERROR(VLOOKUP(A120,Kardex!$A$1:$K$1498,3,FALSE),"")</f>
        <v>Herramienta</v>
      </c>
      <c r="D120" s="20" t="str">
        <f>IFERROR(VLOOKUP(A120,Kardex!$A$1:$K$1498,4,FALSE),"")</f>
        <v>Brocas en tungsteno de 3/16"</v>
      </c>
      <c r="E120" s="21" t="str">
        <f>IFERROR(VLOOKUP(A120,Kardex!$A$1:$K$1498,5,FALSE),"")</f>
        <v>Ar. Blanco</v>
      </c>
      <c r="F120" s="21">
        <f>IFERROR(VLOOKUP(A120,Kardex!$A$1:$K$1498,6,FALSE),"")</f>
        <v>0</v>
      </c>
      <c r="G120" s="21">
        <f>IFERROR(VLOOKUP(A120,Kardex!$A$1:$K$1498,7,FALSE),"")</f>
        <v>0</v>
      </c>
      <c r="H120" s="21" t="str">
        <f>IFERROR(VLOOKUP(A120,Kardex!$A$1:$K$1498,8,FALSE),"")</f>
        <v>un</v>
      </c>
      <c r="I120" s="45">
        <f>IFERROR(VLOOKUP($A120,Kardex!$A$1:$L$1498,9,FALSE),"")</f>
        <v>0</v>
      </c>
      <c r="J120" s="45">
        <f>IFERROR(VLOOKUP($A120,Kardex!$A$1:$L$1498,10,FALSE),"")</f>
        <v>1</v>
      </c>
      <c r="K120" s="45">
        <f>IFERROR(VLOOKUP($A120,Kardex!$A$1:$L$1498,11,FALSE),"")</f>
        <v>0</v>
      </c>
      <c r="L120" s="45">
        <f>IFERROR(VLOOKUP($A120,Kardex!$A$1:$L$1498,12,FALSE),"")</f>
        <v>1</v>
      </c>
    </row>
    <row r="121" spans="1:12" ht="12.75" customHeight="1" x14ac:dyDescent="0.2">
      <c r="A121" s="18">
        <v>120</v>
      </c>
      <c r="B121" s="19" t="str">
        <f>IF(IFERROR(VLOOKUP(A121,Kardex!$A$1:$K$1498,2,FALSE),"")=0,"",IFERROR(VLOOKUP(A121,Kardex!$A$1:$K$1498,2,FALSE),""))</f>
        <v/>
      </c>
      <c r="C121" s="19" t="str">
        <f>IFERROR(VLOOKUP(A121,Kardex!$A$1:$K$1498,3,FALSE),"")</f>
        <v>Herramienta</v>
      </c>
      <c r="D121" s="20" t="str">
        <f>IFERROR(VLOOKUP(A121,Kardex!$A$1:$K$1498,4,FALSE),"")</f>
        <v>Brocas en tungsteno de 1/4X4</v>
      </c>
      <c r="E121" s="21" t="str">
        <f>IFERROR(VLOOKUP(A121,Kardex!$A$1:$K$1498,5,FALSE),"")</f>
        <v>Ar. Blanco</v>
      </c>
      <c r="F121" s="21">
        <f>IFERROR(VLOOKUP(A121,Kardex!$A$1:$K$1498,6,FALSE),"")</f>
        <v>0</v>
      </c>
      <c r="G121" s="21">
        <f>IFERROR(VLOOKUP(A121,Kardex!$A$1:$K$1498,7,FALSE),"")</f>
        <v>0</v>
      </c>
      <c r="H121" s="21" t="str">
        <f>IFERROR(VLOOKUP(A121,Kardex!$A$1:$K$1498,8,FALSE),"")</f>
        <v>un</v>
      </c>
      <c r="I121" s="45">
        <f>IFERROR(VLOOKUP($A121,Kardex!$A$1:$L$1498,9,FALSE),"")</f>
        <v>0</v>
      </c>
      <c r="J121" s="45">
        <f>IFERROR(VLOOKUP($A121,Kardex!$A$1:$L$1498,10,FALSE),"")</f>
        <v>2</v>
      </c>
      <c r="K121" s="45">
        <f>IFERROR(VLOOKUP($A121,Kardex!$A$1:$L$1498,11,FALSE),"")</f>
        <v>0</v>
      </c>
      <c r="L121" s="45">
        <f>IFERROR(VLOOKUP($A121,Kardex!$A$1:$L$1498,12,FALSE),"")</f>
        <v>2</v>
      </c>
    </row>
    <row r="122" spans="1:12" ht="12.75" customHeight="1" x14ac:dyDescent="0.2">
      <c r="A122" s="18">
        <v>121</v>
      </c>
      <c r="B122" s="19" t="str">
        <f>IF(IFERROR(VLOOKUP(A122,Kardex!$A$1:$K$1498,2,FALSE),"")=0,"",IFERROR(VLOOKUP(A122,Kardex!$A$1:$K$1498,2,FALSE),""))</f>
        <v/>
      </c>
      <c r="C122" s="19" t="str">
        <f>IFERROR(VLOOKUP(A122,Kardex!$A$1:$K$1498,3,FALSE),"")</f>
        <v>Herramienta</v>
      </c>
      <c r="D122" s="20" t="str">
        <f>IFERROR(VLOOKUP(A122,Kardex!$A$1:$K$1498,4,FALSE),"")</f>
        <v>Brocas en tungsteno de 5/16X4</v>
      </c>
      <c r="E122" s="21" t="str">
        <f>IFERROR(VLOOKUP(A122,Kardex!$A$1:$K$1498,5,FALSE),"")</f>
        <v>Ar. Blanco</v>
      </c>
      <c r="F122" s="21">
        <f>IFERROR(VLOOKUP(A122,Kardex!$A$1:$K$1498,6,FALSE),"")</f>
        <v>0</v>
      </c>
      <c r="G122" s="21">
        <f>IFERROR(VLOOKUP(A122,Kardex!$A$1:$K$1498,7,FALSE),"")</f>
        <v>0</v>
      </c>
      <c r="H122" s="21" t="str">
        <f>IFERROR(VLOOKUP(A122,Kardex!$A$1:$K$1498,8,FALSE),"")</f>
        <v>un</v>
      </c>
      <c r="I122" s="45">
        <f>IFERROR(VLOOKUP($A122,Kardex!$A$1:$L$1498,9,FALSE),"")</f>
        <v>0</v>
      </c>
      <c r="J122" s="45">
        <f>IFERROR(VLOOKUP($A122,Kardex!$A$1:$L$1498,10,FALSE),"")</f>
        <v>1</v>
      </c>
      <c r="K122" s="45">
        <f>IFERROR(VLOOKUP($A122,Kardex!$A$1:$L$1498,11,FALSE),"")</f>
        <v>0</v>
      </c>
      <c r="L122" s="45">
        <f>IFERROR(VLOOKUP($A122,Kardex!$A$1:$L$1498,12,FALSE),"")</f>
        <v>1</v>
      </c>
    </row>
    <row r="123" spans="1:12" ht="12.75" customHeight="1" x14ac:dyDescent="0.2">
      <c r="A123" s="18">
        <v>122</v>
      </c>
      <c r="B123" s="19" t="str">
        <f>IF(IFERROR(VLOOKUP(A123,Kardex!$A$1:$K$1498,2,FALSE),"")=0,"",IFERROR(VLOOKUP(A123,Kardex!$A$1:$K$1498,2,FALSE),""))</f>
        <v/>
      </c>
      <c r="C123" s="19" t="str">
        <f>IFERROR(VLOOKUP(A123,Kardex!$A$1:$K$1498,3,FALSE),"")</f>
        <v>Herramienta</v>
      </c>
      <c r="D123" s="20" t="str">
        <f>IFERROR(VLOOKUP(A123,Kardex!$A$1:$K$1498,4,FALSE),"")</f>
        <v>Brocas en tungsteno de 1/2X4</v>
      </c>
      <c r="E123" s="21" t="str">
        <f>IFERROR(VLOOKUP(A123,Kardex!$A$1:$K$1498,5,FALSE),"")</f>
        <v>Ar. Blanco</v>
      </c>
      <c r="F123" s="21">
        <f>IFERROR(VLOOKUP(A123,Kardex!$A$1:$K$1498,6,FALSE),"")</f>
        <v>0</v>
      </c>
      <c r="G123" s="21">
        <f>IFERROR(VLOOKUP(A123,Kardex!$A$1:$K$1498,7,FALSE),"")</f>
        <v>0</v>
      </c>
      <c r="H123" s="21" t="str">
        <f>IFERROR(VLOOKUP(A123,Kardex!$A$1:$K$1498,8,FALSE),"")</f>
        <v>un</v>
      </c>
      <c r="I123" s="45">
        <f>IFERROR(VLOOKUP($A123,Kardex!$A$1:$L$1498,9,FALSE),"")</f>
        <v>0</v>
      </c>
      <c r="J123" s="45">
        <f>IFERROR(VLOOKUP($A123,Kardex!$A$1:$L$1498,10,FALSE),"")</f>
        <v>1</v>
      </c>
      <c r="K123" s="45">
        <f>IFERROR(VLOOKUP($A123,Kardex!$A$1:$L$1498,11,FALSE),"")</f>
        <v>0</v>
      </c>
      <c r="L123" s="45">
        <f>IFERROR(VLOOKUP($A123,Kardex!$A$1:$L$1498,12,FALSE),"")</f>
        <v>1</v>
      </c>
    </row>
    <row r="124" spans="1:12" ht="12.75" customHeight="1" x14ac:dyDescent="0.2">
      <c r="A124" s="18">
        <v>123</v>
      </c>
      <c r="B124" s="19" t="str">
        <f>IF(IFERROR(VLOOKUP(A124,Kardex!$A$1:$K$1498,2,FALSE),"")=0,"",IFERROR(VLOOKUP(A124,Kardex!$A$1:$K$1498,2,FALSE),""))</f>
        <v/>
      </c>
      <c r="C124" s="19" t="str">
        <f>IFERROR(VLOOKUP(A124,Kardex!$A$1:$K$1498,3,FALSE),"")</f>
        <v>Herramienta</v>
      </c>
      <c r="D124" s="20" t="str">
        <f>IFERROR(VLOOKUP(A124,Kardex!$A$1:$K$1498,4,FALSE),"")</f>
        <v>Kit de brocas 1/16 a 15/64</v>
      </c>
      <c r="E124" s="21" t="str">
        <f>IFERROR(VLOOKUP(A124,Kardex!$A$1:$K$1498,5,FALSE),"")</f>
        <v>Ar. Blanco</v>
      </c>
      <c r="F124" s="21">
        <f>IFERROR(VLOOKUP(A124,Kardex!$A$1:$K$1498,6,FALSE),"")</f>
        <v>0</v>
      </c>
      <c r="G124" s="21">
        <f>IFERROR(VLOOKUP(A124,Kardex!$A$1:$K$1498,7,FALSE),"")</f>
        <v>0</v>
      </c>
      <c r="H124" s="21" t="str">
        <f>IFERROR(VLOOKUP(A124,Kardex!$A$1:$K$1498,8,FALSE),"")</f>
        <v>un</v>
      </c>
      <c r="I124" s="45">
        <f>IFERROR(VLOOKUP($A124,Kardex!$A$1:$L$1498,9,FALSE),"")</f>
        <v>1</v>
      </c>
      <c r="J124" s="45">
        <f>IFERROR(VLOOKUP($A124,Kardex!$A$1:$L$1498,10,FALSE),"")</f>
        <v>1</v>
      </c>
      <c r="K124" s="45">
        <f>IFERROR(VLOOKUP($A124,Kardex!$A$1:$L$1498,11,FALSE),"")</f>
        <v>0</v>
      </c>
      <c r="L124" s="45">
        <f>IFERROR(VLOOKUP($A124,Kardex!$A$1:$L$1498,12,FALSE),"")</f>
        <v>2</v>
      </c>
    </row>
    <row r="125" spans="1:12" ht="12.75" customHeight="1" x14ac:dyDescent="0.2">
      <c r="A125" s="18">
        <v>124</v>
      </c>
      <c r="B125" s="19" t="str">
        <f>IF(IFERROR(VLOOKUP(A125,Kardex!$A$1:$K$1498,2,FALSE),"")=0,"",IFERROR(VLOOKUP(A125,Kardex!$A$1:$K$1498,2,FALSE),""))</f>
        <v/>
      </c>
      <c r="C125" s="19" t="str">
        <f>IFERROR(VLOOKUP(A125,Kardex!$A$1:$K$1498,3,FALSE),"")</f>
        <v>Herramienta</v>
      </c>
      <c r="D125" s="20" t="str">
        <f>IFERROR(VLOOKUP(A125,Kardex!$A$1:$K$1498,4,FALSE),"")</f>
        <v>Punta de taladro ph2 estrella</v>
      </c>
      <c r="E125" s="21" t="str">
        <f>IFERROR(VLOOKUP(A125,Kardex!$A$1:$K$1498,5,FALSE),"")</f>
        <v>Ar. Blanco</v>
      </c>
      <c r="F125" s="21">
        <f>IFERROR(VLOOKUP(A125,Kardex!$A$1:$K$1498,6,FALSE),"")</f>
        <v>0</v>
      </c>
      <c r="G125" s="21">
        <f>IFERROR(VLOOKUP(A125,Kardex!$A$1:$K$1498,7,FALSE),"")</f>
        <v>0</v>
      </c>
      <c r="H125" s="21" t="str">
        <f>IFERROR(VLOOKUP(A125,Kardex!$A$1:$K$1498,8,FALSE),"")</f>
        <v>un</v>
      </c>
      <c r="I125" s="45">
        <f>IFERROR(VLOOKUP($A125,Kardex!$A$1:$L$1498,9,FALSE),"")</f>
        <v>4</v>
      </c>
      <c r="J125" s="45">
        <f>IFERROR(VLOOKUP($A125,Kardex!$A$1:$L$1498,10,FALSE),"")</f>
        <v>0</v>
      </c>
      <c r="K125" s="45">
        <f>IFERROR(VLOOKUP($A125,Kardex!$A$1:$L$1498,11,FALSE),"")</f>
        <v>1</v>
      </c>
      <c r="L125" s="45">
        <f>IFERROR(VLOOKUP($A125,Kardex!$A$1:$L$1498,12,FALSE),"")</f>
        <v>3</v>
      </c>
    </row>
    <row r="126" spans="1:12" ht="12.75" customHeight="1" x14ac:dyDescent="0.2">
      <c r="A126" s="18">
        <v>125</v>
      </c>
      <c r="B126" s="19" t="str">
        <f>IF(IFERROR(VLOOKUP(A126,Kardex!$A$1:$K$1498,2,FALSE),"")=0,"",IFERROR(VLOOKUP(A126,Kardex!$A$1:$K$1498,2,FALSE),""))</f>
        <v/>
      </c>
      <c r="C126" s="19" t="str">
        <f>IFERROR(VLOOKUP(A126,Kardex!$A$1:$K$1498,3,FALSE),"")</f>
        <v>Herramienta</v>
      </c>
      <c r="D126" s="20" t="str">
        <f>IFERROR(VLOOKUP(A126,Kardex!$A$1:$K$1498,4,FALSE),"")</f>
        <v>Punta de taladro doble</v>
      </c>
      <c r="E126" s="21" t="str">
        <f>IFERROR(VLOOKUP(A126,Kardex!$A$1:$K$1498,5,FALSE),"")</f>
        <v>Ar. Blanco</v>
      </c>
      <c r="F126" s="21">
        <f>IFERROR(VLOOKUP(A126,Kardex!$A$1:$K$1498,6,FALSE),"")</f>
        <v>0</v>
      </c>
      <c r="G126" s="21">
        <f>IFERROR(VLOOKUP(A126,Kardex!$A$1:$K$1498,7,FALSE),"")</f>
        <v>0</v>
      </c>
      <c r="H126" s="21" t="str">
        <f>IFERROR(VLOOKUP(A126,Kardex!$A$1:$K$1498,8,FALSE),"")</f>
        <v>un</v>
      </c>
      <c r="I126" s="45">
        <f>IFERROR(VLOOKUP($A126,Kardex!$A$1:$L$1498,9,FALSE),"")</f>
        <v>2</v>
      </c>
      <c r="J126" s="45">
        <f>IFERROR(VLOOKUP($A126,Kardex!$A$1:$L$1498,10,FALSE),"")</f>
        <v>10</v>
      </c>
      <c r="K126" s="45">
        <f>IFERROR(VLOOKUP($A126,Kardex!$A$1:$L$1498,11,FALSE),"")</f>
        <v>1</v>
      </c>
      <c r="L126" s="45">
        <f>IFERROR(VLOOKUP($A126,Kardex!$A$1:$L$1498,12,FALSE),"")</f>
        <v>11</v>
      </c>
    </row>
    <row r="127" spans="1:12" ht="12.75" customHeight="1" x14ac:dyDescent="0.2">
      <c r="A127" s="18">
        <v>126</v>
      </c>
      <c r="B127" s="19" t="str">
        <f>IF(IFERROR(VLOOKUP(A127,Kardex!$A$1:$K$1498,2,FALSE),"")=0,"",IFERROR(VLOOKUP(A127,Kardex!$A$1:$K$1498,2,FALSE),""))</f>
        <v/>
      </c>
      <c r="C127" s="19" t="str">
        <f>IFERROR(VLOOKUP(A127,Kardex!$A$1:$K$1498,3,FALSE),"")</f>
        <v>Herramienta</v>
      </c>
      <c r="D127" s="20" t="str">
        <f>IFERROR(VLOOKUP(A127,Kardex!$A$1:$K$1498,4,FALSE),"")</f>
        <v>Punta de taladro plana</v>
      </c>
      <c r="E127" s="21" t="str">
        <f>IFERROR(VLOOKUP(A127,Kardex!$A$1:$K$1498,5,FALSE),"")</f>
        <v>Ar. Blanco</v>
      </c>
      <c r="F127" s="21">
        <f>IFERROR(VLOOKUP(A127,Kardex!$A$1:$K$1498,6,FALSE),"")</f>
        <v>0</v>
      </c>
      <c r="G127" s="21">
        <f>IFERROR(VLOOKUP(A127,Kardex!$A$1:$K$1498,7,FALSE),"")</f>
        <v>0</v>
      </c>
      <c r="H127" s="21" t="str">
        <f>IFERROR(VLOOKUP(A127,Kardex!$A$1:$K$1498,8,FALSE),"")</f>
        <v>un</v>
      </c>
      <c r="I127" s="45">
        <f>IFERROR(VLOOKUP($A127,Kardex!$A$1:$L$1498,9,FALSE),"")</f>
        <v>1</v>
      </c>
      <c r="J127" s="45">
        <f>IFERROR(VLOOKUP($A127,Kardex!$A$1:$L$1498,10,FALSE),"")</f>
        <v>0</v>
      </c>
      <c r="K127" s="45">
        <f>IFERROR(VLOOKUP($A127,Kardex!$A$1:$L$1498,11,FALSE),"")</f>
        <v>0</v>
      </c>
      <c r="L127" s="45">
        <f>IFERROR(VLOOKUP($A127,Kardex!$A$1:$L$1498,12,FALSE),"")</f>
        <v>1</v>
      </c>
    </row>
    <row r="128" spans="1:12" ht="12.75" customHeight="1" x14ac:dyDescent="0.2">
      <c r="A128" s="18">
        <v>127</v>
      </c>
      <c r="B128" s="19" t="str">
        <f>IF(IFERROR(VLOOKUP(A128,Kardex!$A$1:$K$1498,2,FALSE),"")=0,"",IFERROR(VLOOKUP(A128,Kardex!$A$1:$K$1498,2,FALSE),""))</f>
        <v/>
      </c>
      <c r="C128" s="19" t="str">
        <f>IFERROR(VLOOKUP(A128,Kardex!$A$1:$K$1498,3,FALSE),"")</f>
        <v>Herramienta</v>
      </c>
      <c r="D128" s="20" t="str">
        <f>IFERROR(VLOOKUP(A128,Kardex!$A$1:$K$1498,4,FALSE),"")</f>
        <v>Juego de punta estrellas doble pieza X10</v>
      </c>
      <c r="E128" s="21" t="str">
        <f>IFERROR(VLOOKUP(A128,Kardex!$A$1:$K$1498,5,FALSE),"")</f>
        <v>Ar. Blanco</v>
      </c>
      <c r="F128" s="21">
        <f>IFERROR(VLOOKUP(A128,Kardex!$A$1:$K$1498,6,FALSE),"")</f>
        <v>0</v>
      </c>
      <c r="G128" s="21">
        <f>IFERROR(VLOOKUP(A128,Kardex!$A$1:$K$1498,7,FALSE),"")</f>
        <v>0</v>
      </c>
      <c r="H128" s="21" t="str">
        <f>IFERROR(VLOOKUP(A128,Kardex!$A$1:$K$1498,8,FALSE),"")</f>
        <v>un</v>
      </c>
      <c r="I128" s="45">
        <f>IFERROR(VLOOKUP($A128,Kardex!$A$1:$L$1498,9,FALSE),"")</f>
        <v>0</v>
      </c>
      <c r="J128" s="45">
        <f>IFERROR(VLOOKUP($A128,Kardex!$A$1:$L$1498,10,FALSE),"")</f>
        <v>3</v>
      </c>
      <c r="K128" s="45">
        <f>IFERROR(VLOOKUP($A128,Kardex!$A$1:$L$1498,11,FALSE),"")</f>
        <v>1</v>
      </c>
      <c r="L128" s="45">
        <f>IFERROR(VLOOKUP($A128,Kardex!$A$1:$L$1498,12,FALSE),"")</f>
        <v>2</v>
      </c>
    </row>
    <row r="129" spans="1:12" ht="12.75" customHeight="1" x14ac:dyDescent="0.2">
      <c r="A129" s="18">
        <v>128</v>
      </c>
      <c r="B129" s="19" t="str">
        <f>IF(IFERROR(VLOOKUP(A129,Kardex!$A$1:$K$1498,2,FALSE),"")=0,"",IFERROR(VLOOKUP(A129,Kardex!$A$1:$K$1498,2,FALSE),""))</f>
        <v/>
      </c>
      <c r="C129" s="19" t="str">
        <f>IFERROR(VLOOKUP(A129,Kardex!$A$1:$K$1498,3,FALSE),"")</f>
        <v>Herramienta</v>
      </c>
      <c r="D129" s="20" t="str">
        <f>IFERROR(VLOOKUP(A129,Kardex!$A$1:$K$1498,4,FALSE),"")</f>
        <v>Llave de taladro 1/2</v>
      </c>
      <c r="E129" s="21" t="str">
        <f>IFERROR(VLOOKUP(A129,Kardex!$A$1:$K$1498,5,FALSE),"")</f>
        <v>Ar. Blanco</v>
      </c>
      <c r="F129" s="21">
        <f>IFERROR(VLOOKUP(A129,Kardex!$A$1:$K$1498,6,FALSE),"")</f>
        <v>0</v>
      </c>
      <c r="G129" s="21">
        <f>IFERROR(VLOOKUP(A129,Kardex!$A$1:$K$1498,7,FALSE),"")</f>
        <v>0</v>
      </c>
      <c r="H129" s="21" t="str">
        <f>IFERROR(VLOOKUP(A129,Kardex!$A$1:$K$1498,8,FALSE),"")</f>
        <v>un</v>
      </c>
      <c r="I129" s="45">
        <f>IFERROR(VLOOKUP($A129,Kardex!$A$1:$L$1498,9,FALSE),"")</f>
        <v>1</v>
      </c>
      <c r="J129" s="45">
        <f>IFERROR(VLOOKUP($A129,Kardex!$A$1:$L$1498,10,FALSE),"")</f>
        <v>0</v>
      </c>
      <c r="K129" s="45">
        <f>IFERROR(VLOOKUP($A129,Kardex!$A$1:$L$1498,11,FALSE),"")</f>
        <v>0</v>
      </c>
      <c r="L129" s="45">
        <f>IFERROR(VLOOKUP($A129,Kardex!$A$1:$L$1498,12,FALSE),"")</f>
        <v>1</v>
      </c>
    </row>
    <row r="130" spans="1:12" ht="12.75" customHeight="1" x14ac:dyDescent="0.2">
      <c r="A130" s="18">
        <v>129</v>
      </c>
      <c r="B130" s="19" t="str">
        <f>IF(IFERROR(VLOOKUP(A130,Kardex!$A$1:$K$1498,2,FALSE),"")=0,"",IFERROR(VLOOKUP(A130,Kardex!$A$1:$K$1498,2,FALSE),""))</f>
        <v/>
      </c>
      <c r="C130" s="19" t="str">
        <f>IFERROR(VLOOKUP(A130,Kardex!$A$1:$K$1498,3,FALSE),"")</f>
        <v>Herramienta</v>
      </c>
      <c r="D130" s="20" t="str">
        <f>IFERROR(VLOOKUP(A130,Kardex!$A$1:$K$1498,4,FALSE),"")</f>
        <v>kit de llaves mixtas</v>
      </c>
      <c r="E130" s="21" t="str">
        <f>IFERROR(VLOOKUP(A130,Kardex!$A$1:$K$1498,5,FALSE),"")</f>
        <v>Ar. Blanco</v>
      </c>
      <c r="F130" s="21">
        <f>IFERROR(VLOOKUP(A130,Kardex!$A$1:$K$1498,6,FALSE),"")</f>
        <v>0</v>
      </c>
      <c r="G130" s="21">
        <f>IFERROR(VLOOKUP(A130,Kardex!$A$1:$K$1498,7,FALSE),"")</f>
        <v>0</v>
      </c>
      <c r="H130" s="21" t="str">
        <f>IFERROR(VLOOKUP(A130,Kardex!$A$1:$K$1498,8,FALSE),"")</f>
        <v>un</v>
      </c>
      <c r="I130" s="45">
        <f>IFERROR(VLOOKUP($A130,Kardex!$A$1:$L$1498,9,FALSE),"")</f>
        <v>0</v>
      </c>
      <c r="J130" s="45">
        <f>IFERROR(VLOOKUP($A130,Kardex!$A$1:$L$1498,10,FALSE),"")</f>
        <v>1</v>
      </c>
      <c r="K130" s="45">
        <f>IFERROR(VLOOKUP($A130,Kardex!$A$1:$L$1498,11,FALSE),"")</f>
        <v>0</v>
      </c>
      <c r="L130" s="45">
        <f>IFERROR(VLOOKUP($A130,Kardex!$A$1:$L$1498,12,FALSE),"")</f>
        <v>1</v>
      </c>
    </row>
    <row r="131" spans="1:12" ht="12.75" customHeight="1" x14ac:dyDescent="0.2">
      <c r="A131" s="18">
        <v>130</v>
      </c>
      <c r="B131" s="19" t="str">
        <f>IF(IFERROR(VLOOKUP(A131,Kardex!$A$1:$K$1498,2,FALSE),"")=0,"",IFERROR(VLOOKUP(A131,Kardex!$A$1:$K$1498,2,FALSE),""))</f>
        <v/>
      </c>
      <c r="C131" s="19" t="str">
        <f>IFERROR(VLOOKUP(A131,Kardex!$A$1:$K$1498,3,FALSE),"")</f>
        <v>Herramienta</v>
      </c>
      <c r="D131" s="20" t="str">
        <f>IFERROR(VLOOKUP(A131,Kardex!$A$1:$K$1498,4,FALSE),"")</f>
        <v>kit de llaves bristol</v>
      </c>
      <c r="E131" s="21" t="str">
        <f>IFERROR(VLOOKUP(A131,Kardex!$A$1:$K$1498,5,FALSE),"")</f>
        <v>Ar. Blanco</v>
      </c>
      <c r="F131" s="21">
        <f>IFERROR(VLOOKUP(A131,Kardex!$A$1:$K$1498,6,FALSE),"")</f>
        <v>0</v>
      </c>
      <c r="G131" s="21">
        <f>IFERROR(VLOOKUP(A131,Kardex!$A$1:$K$1498,7,FALSE),"")</f>
        <v>0</v>
      </c>
      <c r="H131" s="21" t="str">
        <f>IFERROR(VLOOKUP(A131,Kardex!$A$1:$K$1498,8,FALSE),"")</f>
        <v>un</v>
      </c>
      <c r="I131" s="45">
        <f>IFERROR(VLOOKUP($A131,Kardex!$A$1:$L$1498,9,FALSE),"")</f>
        <v>0</v>
      </c>
      <c r="J131" s="45">
        <f>IFERROR(VLOOKUP($A131,Kardex!$A$1:$L$1498,10,FALSE),"")</f>
        <v>1</v>
      </c>
      <c r="K131" s="45">
        <f>IFERROR(VLOOKUP($A131,Kardex!$A$1:$L$1498,11,FALSE),"")</f>
        <v>0</v>
      </c>
      <c r="L131" s="45">
        <f>IFERROR(VLOOKUP($A131,Kardex!$A$1:$L$1498,12,FALSE),"")</f>
        <v>1</v>
      </c>
    </row>
    <row r="132" spans="1:12" ht="12.75" customHeight="1" x14ac:dyDescent="0.2">
      <c r="A132" s="18">
        <v>131</v>
      </c>
      <c r="B132" s="19" t="str">
        <f>IF(IFERROR(VLOOKUP(A132,Kardex!$A$1:$K$1498,2,FALSE),"")=0,"",IFERROR(VLOOKUP(A132,Kardex!$A$1:$K$1498,2,FALSE),""))</f>
        <v/>
      </c>
      <c r="C132" s="19" t="str">
        <f>IFERROR(VLOOKUP(A132,Kardex!$A$1:$K$1498,3,FALSE),"")</f>
        <v>Herramienta</v>
      </c>
      <c r="D132" s="20" t="str">
        <f>IFERROR(VLOOKUP(A132,Kardex!$A$1:$K$1498,4,FALSE),"")</f>
        <v>Alicates</v>
      </c>
      <c r="E132" s="21" t="str">
        <f>IFERROR(VLOOKUP(A132,Kardex!$A$1:$K$1498,5,FALSE),"")</f>
        <v>Ar. Blanco</v>
      </c>
      <c r="F132" s="21">
        <f>IFERROR(VLOOKUP(A132,Kardex!$A$1:$K$1498,6,FALSE),"")</f>
        <v>0</v>
      </c>
      <c r="G132" s="21">
        <f>IFERROR(VLOOKUP(A132,Kardex!$A$1:$K$1498,7,FALSE),"")</f>
        <v>0</v>
      </c>
      <c r="H132" s="21" t="str">
        <f>IFERROR(VLOOKUP(A132,Kardex!$A$1:$K$1498,8,FALSE),"")</f>
        <v>un</v>
      </c>
      <c r="I132" s="45">
        <f>IFERROR(VLOOKUP($A132,Kardex!$A$1:$L$1498,9,FALSE),"")</f>
        <v>1</v>
      </c>
      <c r="J132" s="45">
        <f>IFERROR(VLOOKUP($A132,Kardex!$A$1:$L$1498,10,FALSE),"")</f>
        <v>2</v>
      </c>
      <c r="K132" s="45">
        <f>IFERROR(VLOOKUP($A132,Kardex!$A$1:$L$1498,11,FALSE),"")</f>
        <v>0</v>
      </c>
      <c r="L132" s="45">
        <f>IFERROR(VLOOKUP($A132,Kardex!$A$1:$L$1498,12,FALSE),"")</f>
        <v>3</v>
      </c>
    </row>
    <row r="133" spans="1:12" ht="12.75" customHeight="1" x14ac:dyDescent="0.2">
      <c r="A133" s="18">
        <v>132</v>
      </c>
      <c r="B133" s="19" t="str">
        <f>IF(IFERROR(VLOOKUP(A133,Kardex!$A$1:$K$1498,2,FALSE),"")=0,"",IFERROR(VLOOKUP(A133,Kardex!$A$1:$K$1498,2,FALSE),""))</f>
        <v/>
      </c>
      <c r="C133" s="19" t="str">
        <f>IFERROR(VLOOKUP(A133,Kardex!$A$1:$K$1498,3,FALSE),"")</f>
        <v>Herramienta</v>
      </c>
      <c r="D133" s="20" t="str">
        <f>IFERROR(VLOOKUP(A133,Kardex!$A$1:$K$1498,4,FALSE),"")</f>
        <v>Alicate punta larga</v>
      </c>
      <c r="E133" s="21" t="str">
        <f>IFERROR(VLOOKUP(A133,Kardex!$A$1:$K$1498,5,FALSE),"")</f>
        <v>Ar. Blanco</v>
      </c>
      <c r="F133" s="21">
        <f>IFERROR(VLOOKUP(A133,Kardex!$A$1:$K$1498,6,FALSE),"")</f>
        <v>0</v>
      </c>
      <c r="G133" s="21">
        <f>IFERROR(VLOOKUP(A133,Kardex!$A$1:$K$1498,7,FALSE),"")</f>
        <v>0</v>
      </c>
      <c r="H133" s="21" t="str">
        <f>IFERROR(VLOOKUP(A133,Kardex!$A$1:$K$1498,8,FALSE),"")</f>
        <v>un</v>
      </c>
      <c r="I133" s="45">
        <f>IFERROR(VLOOKUP($A133,Kardex!$A$1:$L$1498,9,FALSE),"")</f>
        <v>1</v>
      </c>
      <c r="J133" s="45">
        <f>IFERROR(VLOOKUP($A133,Kardex!$A$1:$L$1498,10,FALSE),"")</f>
        <v>0</v>
      </c>
      <c r="K133" s="45">
        <f>IFERROR(VLOOKUP($A133,Kardex!$A$1:$L$1498,11,FALSE),"")</f>
        <v>0</v>
      </c>
      <c r="L133" s="45">
        <f>IFERROR(VLOOKUP($A133,Kardex!$A$1:$L$1498,12,FALSE),"")</f>
        <v>1</v>
      </c>
    </row>
    <row r="134" spans="1:12" ht="12.75" customHeight="1" x14ac:dyDescent="0.2">
      <c r="A134" s="18">
        <v>133</v>
      </c>
      <c r="B134" s="19" t="str">
        <f>IF(IFERROR(VLOOKUP(A134,Kardex!$A$1:$K$1498,2,FALSE),"")=0,"",IFERROR(VLOOKUP(A134,Kardex!$A$1:$K$1498,2,FALSE),""))</f>
        <v/>
      </c>
      <c r="C134" s="19" t="str">
        <f>IFERROR(VLOOKUP(A134,Kardex!$A$1:$K$1498,3,FALSE),"")</f>
        <v>Herramienta</v>
      </c>
      <c r="D134" s="20" t="str">
        <f>IFERROR(VLOOKUP(A134,Kardex!$A$1:$K$1498,4,FALSE),"")</f>
        <v>Alicante corta frio</v>
      </c>
      <c r="E134" s="21" t="str">
        <f>IFERROR(VLOOKUP(A134,Kardex!$A$1:$K$1498,5,FALSE),"")</f>
        <v>Ar. Blanco</v>
      </c>
      <c r="F134" s="21">
        <f>IFERROR(VLOOKUP(A134,Kardex!$A$1:$K$1498,6,FALSE),"")</f>
        <v>0</v>
      </c>
      <c r="G134" s="21">
        <f>IFERROR(VLOOKUP(A134,Kardex!$A$1:$K$1498,7,FALSE),"")</f>
        <v>0</v>
      </c>
      <c r="H134" s="21" t="str">
        <f>IFERROR(VLOOKUP(A134,Kardex!$A$1:$K$1498,8,FALSE),"")</f>
        <v>un</v>
      </c>
      <c r="I134" s="45">
        <f>IFERROR(VLOOKUP($A134,Kardex!$A$1:$L$1498,9,FALSE),"")</f>
        <v>0</v>
      </c>
      <c r="J134" s="45">
        <f>IFERROR(VLOOKUP($A134,Kardex!$A$1:$L$1498,10,FALSE),"")</f>
        <v>1</v>
      </c>
      <c r="K134" s="45">
        <f>IFERROR(VLOOKUP($A134,Kardex!$A$1:$L$1498,11,FALSE),"")</f>
        <v>0</v>
      </c>
      <c r="L134" s="45">
        <f>IFERROR(VLOOKUP($A134,Kardex!$A$1:$L$1498,12,FALSE),"")</f>
        <v>1</v>
      </c>
    </row>
    <row r="135" spans="1:12" ht="12.75" customHeight="1" x14ac:dyDescent="0.2">
      <c r="A135" s="18">
        <v>134</v>
      </c>
      <c r="B135" s="19" t="str">
        <f>IF(IFERROR(VLOOKUP(A135,Kardex!$A$1:$K$1498,2,FALSE),"")=0,"",IFERROR(VLOOKUP(A135,Kardex!$A$1:$K$1498,2,FALSE),""))</f>
        <v/>
      </c>
      <c r="C135" s="19" t="str">
        <f>IFERROR(VLOOKUP(A135,Kardex!$A$1:$K$1498,3,FALSE),"")</f>
        <v>Herramienta</v>
      </c>
      <c r="D135" s="20" t="str">
        <f>IFERROR(VLOOKUP(A135,Kardex!$A$1:$K$1498,4,FALSE),"")</f>
        <v>Hombresolo 7 plgs</v>
      </c>
      <c r="E135" s="21" t="str">
        <f>IFERROR(VLOOKUP(A135,Kardex!$A$1:$K$1498,5,FALSE),"")</f>
        <v>Ar. Blanco</v>
      </c>
      <c r="F135" s="21">
        <f>IFERROR(VLOOKUP(A135,Kardex!$A$1:$K$1498,6,FALSE),"")</f>
        <v>0</v>
      </c>
      <c r="G135" s="21">
        <f>IFERROR(VLOOKUP(A135,Kardex!$A$1:$K$1498,7,FALSE),"")</f>
        <v>0</v>
      </c>
      <c r="H135" s="21" t="str">
        <f>IFERROR(VLOOKUP(A135,Kardex!$A$1:$K$1498,8,FALSE),"")</f>
        <v>un</v>
      </c>
      <c r="I135" s="45">
        <f>IFERROR(VLOOKUP($A135,Kardex!$A$1:$L$1498,9,FALSE),"")</f>
        <v>0</v>
      </c>
      <c r="J135" s="45">
        <f>IFERROR(VLOOKUP($A135,Kardex!$A$1:$L$1498,10,FALSE),"")</f>
        <v>4</v>
      </c>
      <c r="K135" s="45">
        <f>IFERROR(VLOOKUP($A135,Kardex!$A$1:$L$1498,11,FALSE),"")</f>
        <v>0</v>
      </c>
      <c r="L135" s="45">
        <f>IFERROR(VLOOKUP($A135,Kardex!$A$1:$L$1498,12,FALSE),"")</f>
        <v>4</v>
      </c>
    </row>
    <row r="136" spans="1:12" ht="12.75" customHeight="1" x14ac:dyDescent="0.2">
      <c r="A136" s="18">
        <v>135</v>
      </c>
      <c r="B136" s="19" t="str">
        <f>IF(IFERROR(VLOOKUP(A136,Kardex!$A$1:$K$1498,2,FALSE),"")=0,"",IFERROR(VLOOKUP(A136,Kardex!$A$1:$K$1498,2,FALSE),""))</f>
        <v/>
      </c>
      <c r="C136" s="19" t="str">
        <f>IFERROR(VLOOKUP(A136,Kardex!$A$1:$K$1498,3,FALSE),"")</f>
        <v>Herramienta</v>
      </c>
      <c r="D136" s="20" t="str">
        <f>IFERROR(VLOOKUP(A136,Kardex!$A$1:$K$1498,4,FALSE),"")</f>
        <v>Remachadora</v>
      </c>
      <c r="E136" s="21" t="str">
        <f>IFERROR(VLOOKUP(A136,Kardex!$A$1:$K$1498,5,FALSE),"")</f>
        <v>Ar. Blanco</v>
      </c>
      <c r="F136" s="21">
        <f>IFERROR(VLOOKUP(A136,Kardex!$A$1:$K$1498,6,FALSE),"")</f>
        <v>0</v>
      </c>
      <c r="G136" s="21">
        <f>IFERROR(VLOOKUP(A136,Kardex!$A$1:$K$1498,7,FALSE),"")</f>
        <v>0</v>
      </c>
      <c r="H136" s="21" t="str">
        <f>IFERROR(VLOOKUP(A136,Kardex!$A$1:$K$1498,8,FALSE),"")</f>
        <v>un</v>
      </c>
      <c r="I136" s="45">
        <f>IFERROR(VLOOKUP($A136,Kardex!$A$1:$L$1498,9,FALSE),"")</f>
        <v>3</v>
      </c>
      <c r="J136" s="45">
        <f>IFERROR(VLOOKUP($A136,Kardex!$A$1:$L$1498,10,FALSE),"")</f>
        <v>10</v>
      </c>
      <c r="K136" s="45">
        <f>IFERROR(VLOOKUP($A136,Kardex!$A$1:$L$1498,11,FALSE),"")</f>
        <v>0</v>
      </c>
      <c r="L136" s="45">
        <f>IFERROR(VLOOKUP($A136,Kardex!$A$1:$L$1498,12,FALSE),"")</f>
        <v>13</v>
      </c>
    </row>
    <row r="137" spans="1:12" ht="12.75" customHeight="1" x14ac:dyDescent="0.2">
      <c r="A137" s="18">
        <v>136</v>
      </c>
      <c r="B137" s="19" t="str">
        <f>IF(IFERROR(VLOOKUP(A137,Kardex!$A$1:$K$1498,2,FALSE),"")=0,"",IFERROR(VLOOKUP(A137,Kardex!$A$1:$K$1498,2,FALSE),""))</f>
        <v/>
      </c>
      <c r="C137" s="19" t="str">
        <f>IFERROR(VLOOKUP(A137,Kardex!$A$1:$K$1498,3,FALSE),"")</f>
        <v>Herramienta</v>
      </c>
      <c r="D137" s="20" t="str">
        <f>IFERROR(VLOOKUP(A137,Kardex!$A$1:$K$1498,4,FALSE),"")</f>
        <v>Brocha de 1 plg</v>
      </c>
      <c r="E137" s="21" t="str">
        <f>IFERROR(VLOOKUP(A137,Kardex!$A$1:$K$1498,5,FALSE),"")</f>
        <v>Ar. Blanco</v>
      </c>
      <c r="F137" s="21">
        <f>IFERROR(VLOOKUP(A137,Kardex!$A$1:$K$1498,6,FALSE),"")</f>
        <v>0</v>
      </c>
      <c r="G137" s="21">
        <f>IFERROR(VLOOKUP(A137,Kardex!$A$1:$K$1498,7,FALSE),"")</f>
        <v>0</v>
      </c>
      <c r="H137" s="21" t="str">
        <f>IFERROR(VLOOKUP(A137,Kardex!$A$1:$K$1498,8,FALSE),"")</f>
        <v>un</v>
      </c>
      <c r="I137" s="45">
        <f>IFERROR(VLOOKUP($A137,Kardex!$A$1:$L$1498,9,FALSE),"")</f>
        <v>1</v>
      </c>
      <c r="J137" s="45">
        <f>IFERROR(VLOOKUP($A137,Kardex!$A$1:$L$1498,10,FALSE),"")</f>
        <v>0</v>
      </c>
      <c r="K137" s="45">
        <f>IFERROR(VLOOKUP($A137,Kardex!$A$1:$L$1498,11,FALSE),"")</f>
        <v>0</v>
      </c>
      <c r="L137" s="45">
        <f>IFERROR(VLOOKUP($A137,Kardex!$A$1:$L$1498,12,FALSE),"")</f>
        <v>1</v>
      </c>
    </row>
    <row r="138" spans="1:12" ht="12.75" customHeight="1" x14ac:dyDescent="0.2">
      <c r="A138" s="18">
        <v>137</v>
      </c>
      <c r="B138" s="19" t="str">
        <f>IF(IFERROR(VLOOKUP(A138,Kardex!$A$1:$K$1498,2,FALSE),"")=0,"",IFERROR(VLOOKUP(A138,Kardex!$A$1:$K$1498,2,FALSE),""))</f>
        <v/>
      </c>
      <c r="C138" s="19" t="str">
        <f>IFERROR(VLOOKUP(A138,Kardex!$A$1:$K$1498,3,FALSE),"")</f>
        <v>Herramienta</v>
      </c>
      <c r="D138" s="20" t="str">
        <f>IFERROR(VLOOKUP(A138,Kardex!$A$1:$K$1498,4,FALSE),"")</f>
        <v>Espátula de 3 plgs</v>
      </c>
      <c r="E138" s="21" t="str">
        <f>IFERROR(VLOOKUP(A138,Kardex!$A$1:$K$1498,5,FALSE),"")</f>
        <v>Ar. Blanco</v>
      </c>
      <c r="F138" s="21">
        <f>IFERROR(VLOOKUP(A138,Kardex!$A$1:$K$1498,6,FALSE),"")</f>
        <v>0</v>
      </c>
      <c r="G138" s="21">
        <f>IFERROR(VLOOKUP(A138,Kardex!$A$1:$K$1498,7,FALSE),"")</f>
        <v>0</v>
      </c>
      <c r="H138" s="21" t="str">
        <f>IFERROR(VLOOKUP(A138,Kardex!$A$1:$K$1498,8,FALSE),"")</f>
        <v>un</v>
      </c>
      <c r="I138" s="45">
        <f>IFERROR(VLOOKUP($A138,Kardex!$A$1:$L$1498,9,FALSE),"")</f>
        <v>1</v>
      </c>
      <c r="J138" s="45">
        <f>IFERROR(VLOOKUP($A138,Kardex!$A$1:$L$1498,10,FALSE),"")</f>
        <v>0</v>
      </c>
      <c r="K138" s="45">
        <f>IFERROR(VLOOKUP($A138,Kardex!$A$1:$L$1498,11,FALSE),"")</f>
        <v>0</v>
      </c>
      <c r="L138" s="45">
        <f>IFERROR(VLOOKUP($A138,Kardex!$A$1:$L$1498,12,FALSE),"")</f>
        <v>1</v>
      </c>
    </row>
    <row r="139" spans="1:12" ht="12.75" customHeight="1" x14ac:dyDescent="0.2">
      <c r="A139" s="18">
        <v>138</v>
      </c>
      <c r="B139" s="19" t="str">
        <f>IF(IFERROR(VLOOKUP(A139,Kardex!$A$1:$K$1498,2,FALSE),"")=0,"",IFERROR(VLOOKUP(A139,Kardex!$A$1:$K$1498,2,FALSE),""))</f>
        <v/>
      </c>
      <c r="C139" s="19" t="str">
        <f>IFERROR(VLOOKUP(A139,Kardex!$A$1:$K$1498,3,FALSE),"")</f>
        <v>Herramienta</v>
      </c>
      <c r="D139" s="20" t="str">
        <f>IFERROR(VLOOKUP(A139,Kardex!$A$1:$K$1498,4,FALSE),"")</f>
        <v>Espátula de 2 plgs</v>
      </c>
      <c r="E139" s="21" t="str">
        <f>IFERROR(VLOOKUP(A139,Kardex!$A$1:$K$1498,5,FALSE),"")</f>
        <v>Ar. Blanco</v>
      </c>
      <c r="F139" s="21">
        <f>IFERROR(VLOOKUP(A139,Kardex!$A$1:$K$1498,6,FALSE),"")</f>
        <v>0</v>
      </c>
      <c r="G139" s="21">
        <f>IFERROR(VLOOKUP(A139,Kardex!$A$1:$K$1498,7,FALSE),"")</f>
        <v>0</v>
      </c>
      <c r="H139" s="21" t="str">
        <f>IFERROR(VLOOKUP(A139,Kardex!$A$1:$K$1498,8,FALSE),"")</f>
        <v>un</v>
      </c>
      <c r="I139" s="45">
        <f>IFERROR(VLOOKUP($A139,Kardex!$A$1:$L$1498,9,FALSE),"")</f>
        <v>2</v>
      </c>
      <c r="J139" s="45">
        <f>IFERROR(VLOOKUP($A139,Kardex!$A$1:$L$1498,10,FALSE),"")</f>
        <v>0</v>
      </c>
      <c r="K139" s="45">
        <f>IFERROR(VLOOKUP($A139,Kardex!$A$1:$L$1498,11,FALSE),"")</f>
        <v>0</v>
      </c>
      <c r="L139" s="45">
        <f>IFERROR(VLOOKUP($A139,Kardex!$A$1:$L$1498,12,FALSE),"")</f>
        <v>2</v>
      </c>
    </row>
    <row r="140" spans="1:12" ht="12.75" customHeight="1" x14ac:dyDescent="0.2">
      <c r="A140" s="18">
        <v>139</v>
      </c>
      <c r="B140" s="19" t="str">
        <f>IF(IFERROR(VLOOKUP(A140,Kardex!$A$1:$K$1498,2,FALSE),"")=0,"",IFERROR(VLOOKUP(A140,Kardex!$A$1:$K$1498,2,FALSE),""))</f>
        <v/>
      </c>
      <c r="C140" s="19" t="str">
        <f>IFERROR(VLOOKUP(A140,Kardex!$A$1:$K$1498,3,FALSE),"")</f>
        <v>Herramienta</v>
      </c>
      <c r="D140" s="20" t="str">
        <f>IFERROR(VLOOKUP(A140,Kardex!$A$1:$K$1498,4,FALSE),"")</f>
        <v>Escuadras</v>
      </c>
      <c r="E140" s="21" t="str">
        <f>IFERROR(VLOOKUP(A140,Kardex!$A$1:$K$1498,5,FALSE),"")</f>
        <v>Ar. Blanco</v>
      </c>
      <c r="F140" s="21">
        <f>IFERROR(VLOOKUP(A140,Kardex!$A$1:$K$1498,6,FALSE),"")</f>
        <v>0</v>
      </c>
      <c r="G140" s="21">
        <f>IFERROR(VLOOKUP(A140,Kardex!$A$1:$K$1498,7,FALSE),"")</f>
        <v>0</v>
      </c>
      <c r="H140" s="21" t="str">
        <f>IFERROR(VLOOKUP(A140,Kardex!$A$1:$K$1498,8,FALSE),"")</f>
        <v>un</v>
      </c>
      <c r="I140" s="45">
        <f>IFERROR(VLOOKUP($A140,Kardex!$A$1:$L$1498,9,FALSE),"")</f>
        <v>3</v>
      </c>
      <c r="J140" s="45">
        <f>IFERROR(VLOOKUP($A140,Kardex!$A$1:$L$1498,10,FALSE),"")</f>
        <v>0</v>
      </c>
      <c r="K140" s="45">
        <f>IFERROR(VLOOKUP($A140,Kardex!$A$1:$L$1498,11,FALSE),"")</f>
        <v>0</v>
      </c>
      <c r="L140" s="45">
        <f>IFERROR(VLOOKUP($A140,Kardex!$A$1:$L$1498,12,FALSE),"")</f>
        <v>3</v>
      </c>
    </row>
    <row r="141" spans="1:12" ht="12.75" customHeight="1" x14ac:dyDescent="0.2">
      <c r="A141" s="18">
        <v>140</v>
      </c>
      <c r="B141" s="19" t="str">
        <f>IF(IFERROR(VLOOKUP(A141,Kardex!$A$1:$K$1498,2,FALSE),"")=0,"",IFERROR(VLOOKUP(A141,Kardex!$A$1:$K$1498,2,FALSE),""))</f>
        <v/>
      </c>
      <c r="C141" s="19" t="str">
        <f>IFERROR(VLOOKUP(A141,Kardex!$A$1:$K$1498,3,FALSE),"")</f>
        <v>Herramienta</v>
      </c>
      <c r="D141" s="20" t="str">
        <f>IFERROR(VLOOKUP(A141,Kardex!$A$1:$K$1498,4,FALSE),"")</f>
        <v>Nivel de gota</v>
      </c>
      <c r="E141" s="21" t="str">
        <f>IFERROR(VLOOKUP(A141,Kardex!$A$1:$K$1498,5,FALSE),"")</f>
        <v>Ar. Blanco</v>
      </c>
      <c r="F141" s="21">
        <f>IFERROR(VLOOKUP(A141,Kardex!$A$1:$K$1498,6,FALSE),"")</f>
        <v>0</v>
      </c>
      <c r="G141" s="21">
        <f>IFERROR(VLOOKUP(A141,Kardex!$A$1:$K$1498,7,FALSE),"")</f>
        <v>0</v>
      </c>
      <c r="H141" s="21" t="str">
        <f>IFERROR(VLOOKUP(A141,Kardex!$A$1:$K$1498,8,FALSE),"")</f>
        <v>un</v>
      </c>
      <c r="I141" s="45">
        <f>IFERROR(VLOOKUP($A141,Kardex!$A$1:$L$1498,9,FALSE),"")</f>
        <v>1</v>
      </c>
      <c r="J141" s="45">
        <f>IFERROR(VLOOKUP($A141,Kardex!$A$1:$L$1498,10,FALSE),"")</f>
        <v>1</v>
      </c>
      <c r="K141" s="45">
        <f>IFERROR(VLOOKUP($A141,Kardex!$A$1:$L$1498,11,FALSE),"")</f>
        <v>0</v>
      </c>
      <c r="L141" s="45">
        <f>IFERROR(VLOOKUP($A141,Kardex!$A$1:$L$1498,12,FALSE),"")</f>
        <v>2</v>
      </c>
    </row>
    <row r="142" spans="1:12" ht="12.75" customHeight="1" x14ac:dyDescent="0.2">
      <c r="A142" s="18">
        <v>141</v>
      </c>
      <c r="B142" s="19" t="str">
        <f>IF(IFERROR(VLOOKUP(A142,Kardex!$A$1:$K$1498,2,FALSE),"")=0,"",IFERROR(VLOOKUP(A142,Kardex!$A$1:$K$1498,2,FALSE),""))</f>
        <v/>
      </c>
      <c r="C142" s="19" t="str">
        <f>IFERROR(VLOOKUP(A142,Kardex!$A$1:$K$1498,3,FALSE),"")</f>
        <v>Herramienta</v>
      </c>
      <c r="D142" s="20" t="str">
        <f>IFERROR(VLOOKUP(A142,Kardex!$A$1:$K$1498,4,FALSE),"")</f>
        <v>Martillo</v>
      </c>
      <c r="E142" s="21" t="str">
        <f>IFERROR(VLOOKUP(A142,Kardex!$A$1:$K$1498,5,FALSE),"")</f>
        <v>Ar. Blanco</v>
      </c>
      <c r="F142" s="21">
        <f>IFERROR(VLOOKUP(A142,Kardex!$A$1:$K$1498,6,FALSE),"")</f>
        <v>0</v>
      </c>
      <c r="G142" s="21">
        <f>IFERROR(VLOOKUP(A142,Kardex!$A$1:$K$1498,7,FALSE),"")</f>
        <v>0</v>
      </c>
      <c r="H142" s="21" t="str">
        <f>IFERROR(VLOOKUP(A142,Kardex!$A$1:$K$1498,8,FALSE),"")</f>
        <v>un</v>
      </c>
      <c r="I142" s="45">
        <f>IFERROR(VLOOKUP($A142,Kardex!$A$1:$L$1498,9,FALSE),"")</f>
        <v>1</v>
      </c>
      <c r="J142" s="45">
        <f>IFERROR(VLOOKUP($A142,Kardex!$A$1:$L$1498,10,FALSE),"")</f>
        <v>0</v>
      </c>
      <c r="K142" s="45">
        <f>IFERROR(VLOOKUP($A142,Kardex!$A$1:$L$1498,11,FALSE),"")</f>
        <v>0</v>
      </c>
      <c r="L142" s="45">
        <f>IFERROR(VLOOKUP($A142,Kardex!$A$1:$L$1498,12,FALSE),"")</f>
        <v>1</v>
      </c>
    </row>
    <row r="143" spans="1:12" ht="12.75" customHeight="1" x14ac:dyDescent="0.2">
      <c r="A143" s="18">
        <v>142</v>
      </c>
      <c r="B143" s="19" t="str">
        <f>IF(IFERROR(VLOOKUP(A143,Kardex!$A$1:$K$1498,2,FALSE),"")=0,"",IFERROR(VLOOKUP(A143,Kardex!$A$1:$K$1498,2,FALSE),""))</f>
        <v/>
      </c>
      <c r="C143" s="19" t="str">
        <f>IFERROR(VLOOKUP(A143,Kardex!$A$1:$K$1498,3,FALSE),"")</f>
        <v>Herramienta</v>
      </c>
      <c r="D143" s="20" t="str">
        <f>IFERROR(VLOOKUP(A143,Kardex!$A$1:$K$1498,4,FALSE),"")</f>
        <v>Mazo de goma</v>
      </c>
      <c r="E143" s="21" t="str">
        <f>IFERROR(VLOOKUP(A143,Kardex!$A$1:$K$1498,5,FALSE),"")</f>
        <v>Ar. Blanco</v>
      </c>
      <c r="F143" s="21">
        <f>IFERROR(VLOOKUP(A143,Kardex!$A$1:$K$1498,6,FALSE),"")</f>
        <v>0</v>
      </c>
      <c r="G143" s="21">
        <f>IFERROR(VLOOKUP(A143,Kardex!$A$1:$K$1498,7,FALSE),"")</f>
        <v>0</v>
      </c>
      <c r="H143" s="21" t="str">
        <f>IFERROR(VLOOKUP(A143,Kardex!$A$1:$K$1498,8,FALSE),"")</f>
        <v>un</v>
      </c>
      <c r="I143" s="45">
        <f>IFERROR(VLOOKUP($A143,Kardex!$A$1:$L$1498,9,FALSE),"")</f>
        <v>1</v>
      </c>
      <c r="J143" s="45">
        <f>IFERROR(VLOOKUP($A143,Kardex!$A$1:$L$1498,10,FALSE),"")</f>
        <v>0</v>
      </c>
      <c r="K143" s="45">
        <f>IFERROR(VLOOKUP($A143,Kardex!$A$1:$L$1498,11,FALSE),"")</f>
        <v>0</v>
      </c>
      <c r="L143" s="45">
        <f>IFERROR(VLOOKUP($A143,Kardex!$A$1:$L$1498,12,FALSE),"")</f>
        <v>1</v>
      </c>
    </row>
    <row r="144" spans="1:12" ht="12.75" customHeight="1" x14ac:dyDescent="0.2">
      <c r="A144" s="18">
        <v>143</v>
      </c>
      <c r="B144" s="19" t="str">
        <f>IF(IFERROR(VLOOKUP(A144,Kardex!$A$1:$K$1498,2,FALSE),"")=0,"",IFERROR(VLOOKUP(A144,Kardex!$A$1:$K$1498,2,FALSE),""))</f>
        <v/>
      </c>
      <c r="C144" s="19" t="str">
        <f>IFERROR(VLOOKUP(A144,Kardex!$A$1:$K$1498,3,FALSE),"")</f>
        <v>Herramienta</v>
      </c>
      <c r="D144" s="20" t="str">
        <f>IFERROR(VLOOKUP(A144,Kardex!$A$1:$K$1498,4,FALSE),"")</f>
        <v>Marco de segueta</v>
      </c>
      <c r="E144" s="21" t="str">
        <f>IFERROR(VLOOKUP(A144,Kardex!$A$1:$K$1498,5,FALSE),"")</f>
        <v>Ar. Blanco</v>
      </c>
      <c r="F144" s="21">
        <f>IFERROR(VLOOKUP(A144,Kardex!$A$1:$K$1498,6,FALSE),"")</f>
        <v>0</v>
      </c>
      <c r="G144" s="21">
        <f>IFERROR(VLOOKUP(A144,Kardex!$A$1:$K$1498,7,FALSE),"")</f>
        <v>0</v>
      </c>
      <c r="H144" s="21" t="str">
        <f>IFERROR(VLOOKUP(A144,Kardex!$A$1:$K$1498,8,FALSE),"")</f>
        <v>un</v>
      </c>
      <c r="I144" s="45">
        <f>IFERROR(VLOOKUP($A144,Kardex!$A$1:$L$1498,9,FALSE),"")</f>
        <v>2</v>
      </c>
      <c r="J144" s="45">
        <f>IFERROR(VLOOKUP($A144,Kardex!$A$1:$L$1498,10,FALSE),"")</f>
        <v>1</v>
      </c>
      <c r="K144" s="45">
        <f>IFERROR(VLOOKUP($A144,Kardex!$A$1:$L$1498,11,FALSE),"")</f>
        <v>0</v>
      </c>
      <c r="L144" s="45">
        <f>IFERROR(VLOOKUP($A144,Kardex!$A$1:$L$1498,12,FALSE),"")</f>
        <v>3</v>
      </c>
    </row>
    <row r="145" spans="1:12" ht="12.75" customHeight="1" x14ac:dyDescent="0.2">
      <c r="A145" s="18">
        <v>144</v>
      </c>
      <c r="B145" s="19" t="str">
        <f>IF(IFERROR(VLOOKUP(A145,Kardex!$A$1:$K$1498,2,FALSE),"")=0,"",IFERROR(VLOOKUP(A145,Kardex!$A$1:$K$1498,2,FALSE),""))</f>
        <v/>
      </c>
      <c r="C145" s="19" t="str">
        <f>IFERROR(VLOOKUP(A145,Kardex!$A$1:$K$1498,3,FALSE),"")</f>
        <v>Herramienta</v>
      </c>
      <c r="D145" s="20" t="str">
        <f>IFERROR(VLOOKUP(A145,Kardex!$A$1:$K$1498,4,FALSE),"")</f>
        <v>Prensa esquinera de aluminio 3 plgs</v>
      </c>
      <c r="E145" s="21" t="str">
        <f>IFERROR(VLOOKUP(A145,Kardex!$A$1:$K$1498,5,FALSE),"")</f>
        <v>Ar. Blanco</v>
      </c>
      <c r="F145" s="21">
        <f>IFERROR(VLOOKUP(A145,Kardex!$A$1:$K$1498,6,FALSE),"")</f>
        <v>0</v>
      </c>
      <c r="G145" s="21">
        <f>IFERROR(VLOOKUP(A145,Kardex!$A$1:$K$1498,7,FALSE),"")</f>
        <v>0</v>
      </c>
      <c r="H145" s="21" t="str">
        <f>IFERROR(VLOOKUP(A145,Kardex!$A$1:$K$1498,8,FALSE),"")</f>
        <v>un</v>
      </c>
      <c r="I145" s="45">
        <f>IFERROR(VLOOKUP($A145,Kardex!$A$1:$L$1498,9,FALSE),"")</f>
        <v>0</v>
      </c>
      <c r="J145" s="45">
        <f>IFERROR(VLOOKUP($A145,Kardex!$A$1:$L$1498,10,FALSE),"")</f>
        <v>1</v>
      </c>
      <c r="K145" s="45">
        <f>IFERROR(VLOOKUP($A145,Kardex!$A$1:$L$1498,11,FALSE),"")</f>
        <v>0</v>
      </c>
      <c r="L145" s="45">
        <f>IFERROR(VLOOKUP($A145,Kardex!$A$1:$L$1498,12,FALSE),"")</f>
        <v>1</v>
      </c>
    </row>
    <row r="146" spans="1:12" ht="12.75" customHeight="1" x14ac:dyDescent="0.2">
      <c r="A146" s="18">
        <v>145</v>
      </c>
      <c r="B146" s="19" t="str">
        <f>IF(IFERROR(VLOOKUP(A146,Kardex!$A$1:$K$1498,2,FALSE),"")=0,"",IFERROR(VLOOKUP(A146,Kardex!$A$1:$K$1498,2,FALSE),""))</f>
        <v/>
      </c>
      <c r="C146" s="19" t="str">
        <f>IFERROR(VLOOKUP(A146,Kardex!$A$1:$K$1498,3,FALSE),"")</f>
        <v>Herramienta</v>
      </c>
      <c r="D146" s="20" t="str">
        <f>IFERROR(VLOOKUP(A146,Kardex!$A$1:$K$1498,4,FALSE),"")</f>
        <v>Prensa tipo C de aluminio 3 plgs</v>
      </c>
      <c r="E146" s="21" t="str">
        <f>IFERROR(VLOOKUP(A146,Kardex!$A$1:$K$1498,5,FALSE),"")</f>
        <v>Ar. Blanco</v>
      </c>
      <c r="F146" s="21">
        <f>IFERROR(VLOOKUP(A146,Kardex!$A$1:$K$1498,6,FALSE),"")</f>
        <v>0</v>
      </c>
      <c r="G146" s="21">
        <f>IFERROR(VLOOKUP(A146,Kardex!$A$1:$K$1498,7,FALSE),"")</f>
        <v>0</v>
      </c>
      <c r="H146" s="21" t="str">
        <f>IFERROR(VLOOKUP(A146,Kardex!$A$1:$K$1498,8,FALSE),"")</f>
        <v>un</v>
      </c>
      <c r="I146" s="45">
        <f>IFERROR(VLOOKUP($A146,Kardex!$A$1:$L$1498,9,FALSE),"")</f>
        <v>0</v>
      </c>
      <c r="J146" s="45">
        <f>IFERROR(VLOOKUP($A146,Kardex!$A$1:$L$1498,10,FALSE),"")</f>
        <v>3</v>
      </c>
      <c r="K146" s="45">
        <f>IFERROR(VLOOKUP($A146,Kardex!$A$1:$L$1498,11,FALSE),"")</f>
        <v>0</v>
      </c>
      <c r="L146" s="45">
        <f>IFERROR(VLOOKUP($A146,Kardex!$A$1:$L$1498,12,FALSE),"")</f>
        <v>3</v>
      </c>
    </row>
    <row r="147" spans="1:12" ht="12.75" customHeight="1" x14ac:dyDescent="0.2">
      <c r="A147" s="18">
        <v>146</v>
      </c>
      <c r="B147" s="19" t="str">
        <f>IF(IFERROR(VLOOKUP(A147,Kardex!$A$1:$K$1498,2,FALSE),"")=0,"",IFERROR(VLOOKUP(A147,Kardex!$A$1:$K$1498,2,FALSE),""))</f>
        <v/>
      </c>
      <c r="C147" s="19" t="str">
        <f>IFERROR(VLOOKUP(A147,Kardex!$A$1:$K$1498,3,FALSE),"")</f>
        <v>Herramienta</v>
      </c>
      <c r="D147" s="20" t="str">
        <f>IFERROR(VLOOKUP(A147,Kardex!$A$1:$K$1498,4,FALSE),"")</f>
        <v>Flexometro 5 metros</v>
      </c>
      <c r="E147" s="21" t="str">
        <f>IFERROR(VLOOKUP(A147,Kardex!$A$1:$K$1498,5,FALSE),"")</f>
        <v>Ar. Blanco</v>
      </c>
      <c r="F147" s="21">
        <f>IFERROR(VLOOKUP(A147,Kardex!$A$1:$K$1498,6,FALSE),"")</f>
        <v>0</v>
      </c>
      <c r="G147" s="21">
        <f>IFERROR(VLOOKUP(A147,Kardex!$A$1:$K$1498,7,FALSE),"")</f>
        <v>0</v>
      </c>
      <c r="H147" s="21" t="str">
        <f>IFERROR(VLOOKUP(A147,Kardex!$A$1:$K$1498,8,FALSE),"")</f>
        <v>un</v>
      </c>
      <c r="I147" s="45">
        <f>IFERROR(VLOOKUP($A147,Kardex!$A$1:$L$1498,9,FALSE),"")</f>
        <v>1</v>
      </c>
      <c r="J147" s="45">
        <f>IFERROR(VLOOKUP($A147,Kardex!$A$1:$L$1498,10,FALSE),"")</f>
        <v>3</v>
      </c>
      <c r="K147" s="45">
        <f>IFERROR(VLOOKUP($A147,Kardex!$A$1:$L$1498,11,FALSE),"")</f>
        <v>0</v>
      </c>
      <c r="L147" s="45">
        <f>IFERROR(VLOOKUP($A147,Kardex!$A$1:$L$1498,12,FALSE),"")</f>
        <v>4</v>
      </c>
    </row>
    <row r="148" spans="1:12" ht="12.75" customHeight="1" x14ac:dyDescent="0.2">
      <c r="A148" s="18">
        <v>147</v>
      </c>
      <c r="B148" s="19" t="str">
        <f>IF(IFERROR(VLOOKUP(A148,Kardex!$A$1:$K$1498,2,FALSE),"")=0,"",IFERROR(VLOOKUP(A148,Kardex!$A$1:$K$1498,2,FALSE),""))</f>
        <v/>
      </c>
      <c r="C148" s="19" t="str">
        <f>IFERROR(VLOOKUP(A148,Kardex!$A$1:$K$1498,3,FALSE),"")</f>
        <v>Herramienta</v>
      </c>
      <c r="D148" s="20" t="str">
        <f>IFERROR(VLOOKUP(A148,Kardex!$A$1:$K$1498,4,FALSE),"")</f>
        <v>Bisturin</v>
      </c>
      <c r="E148" s="21" t="str">
        <f>IFERROR(VLOOKUP(A148,Kardex!$A$1:$K$1498,5,FALSE),"")</f>
        <v>Ar. Blanco</v>
      </c>
      <c r="F148" s="21">
        <f>IFERROR(VLOOKUP(A148,Kardex!$A$1:$K$1498,6,FALSE),"")</f>
        <v>0</v>
      </c>
      <c r="G148" s="21">
        <f>IFERROR(VLOOKUP(A148,Kardex!$A$1:$K$1498,7,FALSE),"")</f>
        <v>0</v>
      </c>
      <c r="H148" s="21" t="str">
        <f>IFERROR(VLOOKUP(A148,Kardex!$A$1:$K$1498,8,FALSE),"")</f>
        <v>un</v>
      </c>
      <c r="I148" s="45">
        <f>IFERROR(VLOOKUP($A148,Kardex!$A$1:$L$1498,9,FALSE),"")</f>
        <v>0</v>
      </c>
      <c r="J148" s="45">
        <f>IFERROR(VLOOKUP($A148,Kardex!$A$1:$L$1498,10,FALSE),"")</f>
        <v>1</v>
      </c>
      <c r="K148" s="45">
        <f>IFERROR(VLOOKUP($A148,Kardex!$A$1:$L$1498,11,FALSE),"")</f>
        <v>0</v>
      </c>
      <c r="L148" s="45">
        <f>IFERROR(VLOOKUP($A148,Kardex!$A$1:$L$1498,12,FALSE),"")</f>
        <v>1</v>
      </c>
    </row>
    <row r="149" spans="1:12" ht="12.75" customHeight="1" x14ac:dyDescent="0.2">
      <c r="A149" s="18">
        <v>148</v>
      </c>
      <c r="B149" s="19" t="str">
        <f>IF(IFERROR(VLOOKUP(A149,Kardex!$A$1:$K$1498,2,FALSE),"")=0,"",IFERROR(VLOOKUP(A149,Kardex!$A$1:$K$1498,2,FALSE),""))</f>
        <v/>
      </c>
      <c r="C149" s="19" t="str">
        <f>IFERROR(VLOOKUP(A149,Kardex!$A$1:$K$1498,3,FALSE),"")</f>
        <v>Herramienta</v>
      </c>
      <c r="D149" s="20" t="str">
        <f>IFERROR(VLOOKUP(A149,Kardex!$A$1:$K$1498,4,FALSE),"")</f>
        <v>Corta vidrios</v>
      </c>
      <c r="E149" s="21" t="str">
        <f>IFERROR(VLOOKUP(A149,Kardex!$A$1:$K$1498,5,FALSE),"")</f>
        <v>Ar. Blanco</v>
      </c>
      <c r="F149" s="21">
        <f>IFERROR(VLOOKUP(A149,Kardex!$A$1:$K$1498,6,FALSE),"")</f>
        <v>0</v>
      </c>
      <c r="G149" s="21">
        <f>IFERROR(VLOOKUP(A149,Kardex!$A$1:$K$1498,7,FALSE),"")</f>
        <v>0</v>
      </c>
      <c r="H149" s="21" t="str">
        <f>IFERROR(VLOOKUP(A149,Kardex!$A$1:$K$1498,8,FALSE),"")</f>
        <v>un</v>
      </c>
      <c r="I149" s="45">
        <f>IFERROR(VLOOKUP($A149,Kardex!$A$1:$L$1498,9,FALSE),"")</f>
        <v>0</v>
      </c>
      <c r="J149" s="45">
        <f>IFERROR(VLOOKUP($A149,Kardex!$A$1:$L$1498,10,FALSE),"")</f>
        <v>2</v>
      </c>
      <c r="K149" s="45">
        <f>IFERROR(VLOOKUP($A149,Kardex!$A$1:$L$1498,11,FALSE),"")</f>
        <v>0</v>
      </c>
      <c r="L149" s="45">
        <f>IFERROR(VLOOKUP($A149,Kardex!$A$1:$L$1498,12,FALSE),"")</f>
        <v>2</v>
      </c>
    </row>
    <row r="150" spans="1:12" ht="12.75" customHeight="1" x14ac:dyDescent="0.2">
      <c r="A150" s="18">
        <v>149</v>
      </c>
      <c r="B150" s="19" t="str">
        <f>IF(IFERROR(VLOOKUP(A150,Kardex!$A$1:$K$1498,2,FALSE),"")=0,"",IFERROR(VLOOKUP(A150,Kardex!$A$1:$K$1498,2,FALSE),""))</f>
        <v/>
      </c>
      <c r="C150" s="19" t="str">
        <f>IFERROR(VLOOKUP(A150,Kardex!$A$1:$K$1498,3,FALSE),"")</f>
        <v>Herramienta</v>
      </c>
      <c r="D150" s="20" t="str">
        <f>IFERROR(VLOOKUP(A150,Kardex!$A$1:$K$1498,4,FALSE),"")</f>
        <v>Hoja de segueta</v>
      </c>
      <c r="E150" s="21" t="str">
        <f>IFERROR(VLOOKUP(A150,Kardex!$A$1:$K$1498,5,FALSE),"")</f>
        <v>Ar. Blanco</v>
      </c>
      <c r="F150" s="21">
        <f>IFERROR(VLOOKUP(A150,Kardex!$A$1:$K$1498,6,FALSE),"")</f>
        <v>0</v>
      </c>
      <c r="G150" s="21">
        <f>IFERROR(VLOOKUP(A150,Kardex!$A$1:$K$1498,7,FALSE),"")</f>
        <v>0</v>
      </c>
      <c r="H150" s="21" t="str">
        <f>IFERROR(VLOOKUP(A150,Kardex!$A$1:$K$1498,8,FALSE),"")</f>
        <v>un</v>
      </c>
      <c r="I150" s="45">
        <f>IFERROR(VLOOKUP($A150,Kardex!$A$1:$L$1498,9,FALSE),"")</f>
        <v>6</v>
      </c>
      <c r="J150" s="45">
        <f>IFERROR(VLOOKUP($A150,Kardex!$A$1:$L$1498,10,FALSE),"")</f>
        <v>14</v>
      </c>
      <c r="K150" s="45">
        <f>IFERROR(VLOOKUP($A150,Kardex!$A$1:$L$1498,11,FALSE),"")</f>
        <v>0</v>
      </c>
      <c r="L150" s="45">
        <f>IFERROR(VLOOKUP($A150,Kardex!$A$1:$L$1498,12,FALSE),"")</f>
        <v>20</v>
      </c>
    </row>
    <row r="151" spans="1:12" ht="12.75" customHeight="1" x14ac:dyDescent="0.2">
      <c r="A151" s="18">
        <v>150</v>
      </c>
      <c r="B151" s="19" t="str">
        <f>IF(IFERROR(VLOOKUP(A151,Kardex!$A$1:$K$1498,2,FALSE),"")=0,"",IFERROR(VLOOKUP(A151,Kardex!$A$1:$K$1498,2,FALSE),""))</f>
        <v/>
      </c>
      <c r="C151" s="19" t="str">
        <f>IFERROR(VLOOKUP(A151,Kardex!$A$1:$K$1498,3,FALSE),"")</f>
        <v>Herramienta</v>
      </c>
      <c r="D151" s="20" t="str">
        <f>IFERROR(VLOOKUP(A151,Kardex!$A$1:$K$1498,4,FALSE),"")</f>
        <v>Disco de pulidora de corte</v>
      </c>
      <c r="E151" s="21" t="str">
        <f>IFERROR(VLOOKUP(A151,Kardex!$A$1:$K$1498,5,FALSE),"")</f>
        <v>Ar. Blanco</v>
      </c>
      <c r="F151" s="21">
        <f>IFERROR(VLOOKUP(A151,Kardex!$A$1:$K$1498,6,FALSE),"")</f>
        <v>0</v>
      </c>
      <c r="G151" s="21">
        <f>IFERROR(VLOOKUP(A151,Kardex!$A$1:$K$1498,7,FALSE),"")</f>
        <v>0</v>
      </c>
      <c r="H151" s="21" t="str">
        <f>IFERROR(VLOOKUP(A151,Kardex!$A$1:$K$1498,8,FALSE),"")</f>
        <v>un</v>
      </c>
      <c r="I151" s="45">
        <f>IFERROR(VLOOKUP($A151,Kardex!$A$1:$L$1498,9,FALSE),"")</f>
        <v>0</v>
      </c>
      <c r="J151" s="45">
        <f>IFERROR(VLOOKUP($A151,Kardex!$A$1:$L$1498,10,FALSE),"")</f>
        <v>12</v>
      </c>
      <c r="K151" s="45">
        <f>IFERROR(VLOOKUP($A151,Kardex!$A$1:$L$1498,11,FALSE),"")</f>
        <v>0</v>
      </c>
      <c r="L151" s="45">
        <f>IFERROR(VLOOKUP($A151,Kardex!$A$1:$L$1498,12,FALSE),"")</f>
        <v>12</v>
      </c>
    </row>
    <row r="152" spans="1:12" ht="12.75" customHeight="1" x14ac:dyDescent="0.2">
      <c r="A152" s="18">
        <v>151</v>
      </c>
      <c r="B152" s="19" t="str">
        <f>IF(IFERROR(VLOOKUP(A152,Kardex!$A$1:$K$1498,2,FALSE),"")=0,"",IFERROR(VLOOKUP(A152,Kardex!$A$1:$K$1498,2,FALSE),""))</f>
        <v/>
      </c>
      <c r="C152" s="19" t="str">
        <f>IFERROR(VLOOKUP(A152,Kardex!$A$1:$K$1498,3,FALSE),"")</f>
        <v>Herramienta</v>
      </c>
      <c r="D152" s="20" t="str">
        <f>IFERROR(VLOOKUP(A152,Kardex!$A$1:$K$1498,4,FALSE),"")</f>
        <v>Raspa vidrios</v>
      </c>
      <c r="E152" s="21" t="str">
        <f>IFERROR(VLOOKUP(A152,Kardex!$A$1:$K$1498,5,FALSE),"")</f>
        <v>Ar. Blanco</v>
      </c>
      <c r="F152" s="21">
        <f>IFERROR(VLOOKUP(A152,Kardex!$A$1:$K$1498,6,FALSE),"")</f>
        <v>0</v>
      </c>
      <c r="G152" s="21">
        <f>IFERROR(VLOOKUP(A152,Kardex!$A$1:$K$1498,7,FALSE),"")</f>
        <v>0</v>
      </c>
      <c r="H152" s="21" t="str">
        <f>IFERROR(VLOOKUP(A152,Kardex!$A$1:$K$1498,8,FALSE),"")</f>
        <v>un</v>
      </c>
      <c r="I152" s="45">
        <f>IFERROR(VLOOKUP($A152,Kardex!$A$1:$L$1498,9,FALSE),"")</f>
        <v>0</v>
      </c>
      <c r="J152" s="45">
        <f>IFERROR(VLOOKUP($A152,Kardex!$A$1:$L$1498,10,FALSE),"")</f>
        <v>3</v>
      </c>
      <c r="K152" s="45">
        <f>IFERROR(VLOOKUP($A152,Kardex!$A$1:$L$1498,11,FALSE),"")</f>
        <v>0</v>
      </c>
      <c r="L152" s="45">
        <f>IFERROR(VLOOKUP($A152,Kardex!$A$1:$L$1498,12,FALSE),"")</f>
        <v>3</v>
      </c>
    </row>
    <row r="153" spans="1:12" ht="12.75" customHeight="1" x14ac:dyDescent="0.2">
      <c r="A153" s="18">
        <v>152</v>
      </c>
      <c r="B153" s="19" t="str">
        <f>IF(IFERROR(VLOOKUP(A153,Kardex!$A$1:$K$1498,2,FALSE),"")=0,"",IFERROR(VLOOKUP(A153,Kardex!$A$1:$K$1498,2,FALSE),""))</f>
        <v/>
      </c>
      <c r="C153" s="19" t="str">
        <f>IFERROR(VLOOKUP(A153,Kardex!$A$1:$K$1498,3,FALSE),"")</f>
        <v>EEP</v>
      </c>
      <c r="D153" s="20" t="str">
        <f>IFERROR(VLOOKUP(A153,Kardex!$A$1:$K$1498,4,FALSE),"")</f>
        <v>Protector de respirador N95</v>
      </c>
      <c r="E153" s="21" t="str">
        <f>IFERROR(VLOOKUP(A153,Kardex!$A$1:$K$1498,5,FALSE),"")</f>
        <v>Ar. Negro</v>
      </c>
      <c r="F153" s="21">
        <f>IFERROR(VLOOKUP(A153,Kardex!$A$1:$K$1498,6,FALSE),"")</f>
        <v>0</v>
      </c>
      <c r="G153" s="21">
        <f>IFERROR(VLOOKUP(A153,Kardex!$A$1:$K$1498,7,FALSE),"")</f>
        <v>0</v>
      </c>
      <c r="H153" s="21" t="str">
        <f>IFERROR(VLOOKUP(A153,Kardex!$A$1:$K$1498,8,FALSE),"")</f>
        <v>un</v>
      </c>
      <c r="I153" s="45">
        <f>IFERROR(VLOOKUP($A153,Kardex!$A$1:$L$1498,9,FALSE),"")</f>
        <v>4</v>
      </c>
      <c r="J153" s="45">
        <f>IFERROR(VLOOKUP($A153,Kardex!$A$1:$L$1498,10,FALSE),"")</f>
        <v>39</v>
      </c>
      <c r="K153" s="45">
        <f>IFERROR(VLOOKUP($A153,Kardex!$A$1:$L$1498,11,FALSE),"")</f>
        <v>4</v>
      </c>
      <c r="L153" s="45">
        <f>IFERROR(VLOOKUP($A153,Kardex!$A$1:$L$1498,12,FALSE),"")</f>
        <v>39</v>
      </c>
    </row>
    <row r="154" spans="1:12" ht="12.75" customHeight="1" x14ac:dyDescent="0.2">
      <c r="A154" s="18">
        <v>153</v>
      </c>
      <c r="B154" s="19" t="str">
        <f>IF(IFERROR(VLOOKUP(A154,Kardex!$A$1:$K$1498,2,FALSE),"")=0,"",IFERROR(VLOOKUP(A154,Kardex!$A$1:$K$1498,2,FALSE),""))</f>
        <v/>
      </c>
      <c r="C154" s="19" t="str">
        <f>IFERROR(VLOOKUP(A154,Kardex!$A$1:$K$1498,3,FALSE),"")</f>
        <v>EEP</v>
      </c>
      <c r="D154" s="20" t="str">
        <f>IFERROR(VLOOKUP(A154,Kardex!$A$1:$K$1498,4,FALSE),"")</f>
        <v>Protector de respirador por caja (50 und)</v>
      </c>
      <c r="E154" s="21" t="str">
        <f>IFERROR(VLOOKUP(A154,Kardex!$A$1:$K$1498,5,FALSE),"")</f>
        <v>Ar. Negro</v>
      </c>
      <c r="F154" s="21">
        <f>IFERROR(VLOOKUP(A154,Kardex!$A$1:$K$1498,6,FALSE),"")</f>
        <v>0</v>
      </c>
      <c r="G154" s="21">
        <f>IFERROR(VLOOKUP(A154,Kardex!$A$1:$K$1498,7,FALSE),"")</f>
        <v>0</v>
      </c>
      <c r="H154" s="21" t="str">
        <f>IFERROR(VLOOKUP(A154,Kardex!$A$1:$K$1498,8,FALSE),"")</f>
        <v>un</v>
      </c>
      <c r="I154" s="45">
        <f>IFERROR(VLOOKUP($A154,Kardex!$A$1:$L$1498,9,FALSE),"")</f>
        <v>0</v>
      </c>
      <c r="J154" s="45">
        <f>IFERROR(VLOOKUP($A154,Kardex!$A$1:$L$1498,10,FALSE),"")</f>
        <v>2</v>
      </c>
      <c r="K154" s="45">
        <f>IFERROR(VLOOKUP($A154,Kardex!$A$1:$L$1498,11,FALSE),"")</f>
        <v>0</v>
      </c>
      <c r="L154" s="45">
        <f>IFERROR(VLOOKUP($A154,Kardex!$A$1:$L$1498,12,FALSE),"")</f>
        <v>2</v>
      </c>
    </row>
    <row r="155" spans="1:12" ht="12.75" customHeight="1" x14ac:dyDescent="0.2">
      <c r="A155" s="18">
        <v>154</v>
      </c>
      <c r="B155" s="19" t="str">
        <f>IF(IFERROR(VLOOKUP(A155,Kardex!$A$1:$K$1498,2,FALSE),"")=0,"",IFERROR(VLOOKUP(A155,Kardex!$A$1:$K$1498,2,FALSE),""))</f>
        <v/>
      </c>
      <c r="C155" s="19" t="str">
        <f>IFERROR(VLOOKUP(A155,Kardex!$A$1:$K$1498,3,FALSE),"")</f>
        <v>EEP</v>
      </c>
      <c r="D155" s="20" t="str">
        <f>IFERROR(VLOOKUP(A155,Kardex!$A$1:$K$1498,4,FALSE),"")</f>
        <v>Protector auditivo tipo copa</v>
      </c>
      <c r="E155" s="21" t="str">
        <f>IFERROR(VLOOKUP(A155,Kardex!$A$1:$K$1498,5,FALSE),"")</f>
        <v>Ar. Negro</v>
      </c>
      <c r="F155" s="21">
        <f>IFERROR(VLOOKUP(A155,Kardex!$A$1:$K$1498,6,FALSE),"")</f>
        <v>0</v>
      </c>
      <c r="G155" s="21">
        <f>IFERROR(VLOOKUP(A155,Kardex!$A$1:$K$1498,7,FALSE),"")</f>
        <v>0</v>
      </c>
      <c r="H155" s="21" t="str">
        <f>IFERROR(VLOOKUP(A155,Kardex!$A$1:$K$1498,8,FALSE),"")</f>
        <v>un</v>
      </c>
      <c r="I155" s="45">
        <f>IFERROR(VLOOKUP($A155,Kardex!$A$1:$L$1498,9,FALSE),"")</f>
        <v>0</v>
      </c>
      <c r="J155" s="45">
        <f>IFERROR(VLOOKUP($A155,Kardex!$A$1:$L$1498,10,FALSE),"")</f>
        <v>4</v>
      </c>
      <c r="K155" s="45">
        <f>IFERROR(VLOOKUP($A155,Kardex!$A$1:$L$1498,11,FALSE),"")</f>
        <v>3</v>
      </c>
      <c r="L155" s="45">
        <f>IFERROR(VLOOKUP($A155,Kardex!$A$1:$L$1498,12,FALSE),"")</f>
        <v>1</v>
      </c>
    </row>
    <row r="156" spans="1:12" ht="12.75" customHeight="1" x14ac:dyDescent="0.2">
      <c r="A156" s="18">
        <v>155</v>
      </c>
      <c r="B156" s="19" t="str">
        <f>IF(IFERROR(VLOOKUP(A156,Kardex!$A$1:$K$1498,2,FALSE),"")=0,"",IFERROR(VLOOKUP(A156,Kardex!$A$1:$K$1498,2,FALSE),""))</f>
        <v/>
      </c>
      <c r="C156" s="19" t="str">
        <f>IFERROR(VLOOKUP(A156,Kardex!$A$1:$K$1498,3,FALSE),"")</f>
        <v>EEP</v>
      </c>
      <c r="D156" s="20" t="str">
        <f>IFERROR(VLOOKUP(A156,Kardex!$A$1:$K$1498,4,FALSE),"")</f>
        <v>Protector auditivo tipo inserccion</v>
      </c>
      <c r="E156" s="21" t="str">
        <f>IFERROR(VLOOKUP(A156,Kardex!$A$1:$K$1498,5,FALSE),"")</f>
        <v>Ar. Negro</v>
      </c>
      <c r="F156" s="21">
        <f>IFERROR(VLOOKUP(A156,Kardex!$A$1:$K$1498,6,FALSE),"")</f>
        <v>0</v>
      </c>
      <c r="G156" s="21">
        <f>IFERROR(VLOOKUP(A156,Kardex!$A$1:$K$1498,7,FALSE),"")</f>
        <v>0</v>
      </c>
      <c r="H156" s="21" t="str">
        <f>IFERROR(VLOOKUP(A156,Kardex!$A$1:$K$1498,8,FALSE),"")</f>
        <v>un</v>
      </c>
      <c r="I156" s="45">
        <f>IFERROR(VLOOKUP($A156,Kardex!$A$1:$L$1498,9,FALSE),"")</f>
        <v>0</v>
      </c>
      <c r="J156" s="45">
        <f>IFERROR(VLOOKUP($A156,Kardex!$A$1:$L$1498,10,FALSE),"")</f>
        <v>3</v>
      </c>
      <c r="K156" s="45">
        <f>IFERROR(VLOOKUP($A156,Kardex!$A$1:$L$1498,11,FALSE),"")</f>
        <v>0</v>
      </c>
      <c r="L156" s="45">
        <f>IFERROR(VLOOKUP($A156,Kardex!$A$1:$L$1498,12,FALSE),"")</f>
        <v>3</v>
      </c>
    </row>
    <row r="157" spans="1:12" ht="12.75" customHeight="1" x14ac:dyDescent="0.2">
      <c r="A157" s="18">
        <v>156</v>
      </c>
      <c r="B157" s="19" t="str">
        <f>IF(IFERROR(VLOOKUP(A157,Kardex!$A$1:$K$1498,2,FALSE),"")=0,"",IFERROR(VLOOKUP(A157,Kardex!$A$1:$K$1498,2,FALSE),""))</f>
        <v/>
      </c>
      <c r="C157" s="19" t="str">
        <f>IFERROR(VLOOKUP(A157,Kardex!$A$1:$K$1498,3,FALSE),"")</f>
        <v>EEP</v>
      </c>
      <c r="D157" s="20" t="str">
        <f>IFERROR(VLOOKUP(A157,Kardex!$A$1:$K$1498,4,FALSE),"")</f>
        <v>Guantes de nitrilo</v>
      </c>
      <c r="E157" s="21" t="str">
        <f>IFERROR(VLOOKUP(A157,Kardex!$A$1:$K$1498,5,FALSE),"")</f>
        <v>Ar. Negro</v>
      </c>
      <c r="F157" s="21">
        <f>IFERROR(VLOOKUP(A157,Kardex!$A$1:$K$1498,6,FALSE),"")</f>
        <v>0</v>
      </c>
      <c r="G157" s="21">
        <f>IFERROR(VLOOKUP(A157,Kardex!$A$1:$K$1498,7,FALSE),"")</f>
        <v>0</v>
      </c>
      <c r="H157" s="21" t="str">
        <f>IFERROR(VLOOKUP(A157,Kardex!$A$1:$K$1498,8,FALSE),"")</f>
        <v>un</v>
      </c>
      <c r="I157" s="45">
        <f>IFERROR(VLOOKUP($A157,Kardex!$A$1:$L$1498,9,FALSE),"")</f>
        <v>1</v>
      </c>
      <c r="J157" s="45">
        <f>IFERROR(VLOOKUP($A157,Kardex!$A$1:$L$1498,10,FALSE),"")</f>
        <v>4</v>
      </c>
      <c r="K157" s="45">
        <f>IFERROR(VLOOKUP($A157,Kardex!$A$1:$L$1498,11,FALSE),"")</f>
        <v>0</v>
      </c>
      <c r="L157" s="45">
        <f>IFERROR(VLOOKUP($A157,Kardex!$A$1:$L$1498,12,FALSE),"")</f>
        <v>5</v>
      </c>
    </row>
    <row r="158" spans="1:12" ht="12.75" customHeight="1" x14ac:dyDescent="0.2">
      <c r="A158" s="18">
        <v>157</v>
      </c>
      <c r="B158" s="19" t="str">
        <f>IF(IFERROR(VLOOKUP(A158,Kardex!$A$1:$K$1498,2,FALSE),"")=0,"",IFERROR(VLOOKUP(A158,Kardex!$A$1:$K$1498,2,FALSE),""))</f>
        <v/>
      </c>
      <c r="C158" s="19" t="str">
        <f>IFERROR(VLOOKUP(A158,Kardex!$A$1:$K$1498,3,FALSE),"")</f>
        <v>EEP</v>
      </c>
      <c r="D158" s="20" t="str">
        <f>IFERROR(VLOOKUP(A158,Kardex!$A$1:$K$1498,4,FALSE),"")</f>
        <v>Guantes de vaqueta</v>
      </c>
      <c r="E158" s="21" t="str">
        <f>IFERROR(VLOOKUP(A158,Kardex!$A$1:$K$1498,5,FALSE),"")</f>
        <v>Ar. Negro</v>
      </c>
      <c r="F158" s="21">
        <f>IFERROR(VLOOKUP(A158,Kardex!$A$1:$K$1498,6,FALSE),"")</f>
        <v>0</v>
      </c>
      <c r="G158" s="21">
        <f>IFERROR(VLOOKUP(A158,Kardex!$A$1:$K$1498,7,FALSE),"")</f>
        <v>0</v>
      </c>
      <c r="H158" s="21" t="str">
        <f>IFERROR(VLOOKUP(A158,Kardex!$A$1:$K$1498,8,FALSE),"")</f>
        <v>un</v>
      </c>
      <c r="I158" s="45">
        <f>IFERROR(VLOOKUP($A158,Kardex!$A$1:$L$1498,9,FALSE),"")</f>
        <v>1</v>
      </c>
      <c r="J158" s="45">
        <f>IFERROR(VLOOKUP($A158,Kardex!$A$1:$L$1498,10,FALSE),"")</f>
        <v>6</v>
      </c>
      <c r="K158" s="45">
        <f>IFERROR(VLOOKUP($A158,Kardex!$A$1:$L$1498,11,FALSE),"")</f>
        <v>1</v>
      </c>
      <c r="L158" s="45">
        <f>IFERROR(VLOOKUP($A158,Kardex!$A$1:$L$1498,12,FALSE),"")</f>
        <v>6</v>
      </c>
    </row>
    <row r="159" spans="1:12" ht="12.75" customHeight="1" x14ac:dyDescent="0.2">
      <c r="A159" s="18">
        <v>158</v>
      </c>
      <c r="B159" s="19" t="str">
        <f>IF(IFERROR(VLOOKUP(A159,Kardex!$A$1:$K$1498,2,FALSE),"")=0,"",IFERROR(VLOOKUP(A159,Kardex!$A$1:$K$1498,2,FALSE),""))</f>
        <v/>
      </c>
      <c r="C159" s="19" t="str">
        <f>IFERROR(VLOOKUP(A159,Kardex!$A$1:$K$1498,3,FALSE),"")</f>
        <v>EEP</v>
      </c>
      <c r="D159" s="20" t="str">
        <f>IFERROR(VLOOKUP(A159,Kardex!$A$1:$K$1498,4,FALSE),"")</f>
        <v>Guantes caña alta Goliat por par</v>
      </c>
      <c r="E159" s="21" t="str">
        <f>IFERROR(VLOOKUP(A159,Kardex!$A$1:$K$1498,5,FALSE),"")</f>
        <v>Ar. Negro</v>
      </c>
      <c r="F159" s="21">
        <f>IFERROR(VLOOKUP(A159,Kardex!$A$1:$K$1498,6,FALSE),"")</f>
        <v>0</v>
      </c>
      <c r="G159" s="21">
        <f>IFERROR(VLOOKUP(A159,Kardex!$A$1:$K$1498,7,FALSE),"")</f>
        <v>0</v>
      </c>
      <c r="H159" s="21" t="str">
        <f>IFERROR(VLOOKUP(A159,Kardex!$A$1:$K$1498,8,FALSE),"")</f>
        <v>un</v>
      </c>
      <c r="I159" s="45">
        <f>IFERROR(VLOOKUP($A159,Kardex!$A$1:$L$1498,9,FALSE),"")</f>
        <v>43</v>
      </c>
      <c r="J159" s="45">
        <f>IFERROR(VLOOKUP($A159,Kardex!$A$1:$L$1498,10,FALSE),"")</f>
        <v>0</v>
      </c>
      <c r="K159" s="45">
        <f>IFERROR(VLOOKUP($A159,Kardex!$A$1:$L$1498,11,FALSE),"")</f>
        <v>11</v>
      </c>
      <c r="L159" s="45">
        <f>IFERROR(VLOOKUP($A159,Kardex!$A$1:$L$1498,12,FALSE),"")</f>
        <v>32</v>
      </c>
    </row>
    <row r="160" spans="1:12" ht="12.75" customHeight="1" x14ac:dyDescent="0.2">
      <c r="A160" s="18">
        <v>159</v>
      </c>
      <c r="B160" s="19" t="str">
        <f>IF(IFERROR(VLOOKUP(A160,Kardex!$A$1:$K$1498,2,FALSE),"")=0,"",IFERROR(VLOOKUP(A160,Kardex!$A$1:$K$1498,2,FALSE),""))</f>
        <v/>
      </c>
      <c r="C160" s="19" t="str">
        <f>IFERROR(VLOOKUP(A160,Kardex!$A$1:$K$1498,3,FALSE),"")</f>
        <v>EEP</v>
      </c>
      <c r="D160" s="20" t="str">
        <f>IFERROR(VLOOKUP(A160,Kardex!$A$1:$K$1498,4,FALSE),"")</f>
        <v>Protector visual (Gafas)</v>
      </c>
      <c r="E160" s="21" t="str">
        <f>IFERROR(VLOOKUP(A160,Kardex!$A$1:$K$1498,5,FALSE),"")</f>
        <v>Ar. Negro</v>
      </c>
      <c r="F160" s="21">
        <f>IFERROR(VLOOKUP(A160,Kardex!$A$1:$K$1498,6,FALSE),"")</f>
        <v>0</v>
      </c>
      <c r="G160" s="21">
        <f>IFERROR(VLOOKUP(A160,Kardex!$A$1:$K$1498,7,FALSE),"")</f>
        <v>0</v>
      </c>
      <c r="H160" s="21" t="str">
        <f>IFERROR(VLOOKUP(A160,Kardex!$A$1:$K$1498,8,FALSE),"")</f>
        <v>un</v>
      </c>
      <c r="I160" s="45">
        <f>IFERROR(VLOOKUP($A160,Kardex!$A$1:$L$1498,9,FALSE),"")</f>
        <v>3</v>
      </c>
      <c r="J160" s="45">
        <f>IFERROR(VLOOKUP($A160,Kardex!$A$1:$L$1498,10,FALSE),"")</f>
        <v>7</v>
      </c>
      <c r="K160" s="45">
        <f>IFERROR(VLOOKUP($A160,Kardex!$A$1:$L$1498,11,FALSE),"")</f>
        <v>3</v>
      </c>
      <c r="L160" s="45">
        <f>IFERROR(VLOOKUP($A160,Kardex!$A$1:$L$1498,12,FALSE),"")</f>
        <v>7</v>
      </c>
    </row>
    <row r="161" spans="1:12" ht="12.75" customHeight="1" x14ac:dyDescent="0.2">
      <c r="A161" s="18">
        <v>160</v>
      </c>
      <c r="B161" s="19" t="str">
        <f>IF(IFERROR(VLOOKUP(A161,Kardex!$A$1:$K$1498,2,FALSE),"")=0,"",IFERROR(VLOOKUP(A161,Kardex!$A$1:$K$1498,2,FALSE),""))</f>
        <v/>
      </c>
      <c r="C161" s="19" t="str">
        <f>IFERROR(VLOOKUP(A161,Kardex!$A$1:$K$1498,3,FALSE),"")</f>
        <v>EEP</v>
      </c>
      <c r="D161" s="20" t="str">
        <f>IFERROR(VLOOKUP(A161,Kardex!$A$1:$K$1498,4,FALSE),"")</f>
        <v>Protector visual (Careta esmeril)</v>
      </c>
      <c r="E161" s="21" t="str">
        <f>IFERROR(VLOOKUP(A161,Kardex!$A$1:$K$1498,5,FALSE),"")</f>
        <v>Ar. Negro</v>
      </c>
      <c r="F161" s="21">
        <f>IFERROR(VLOOKUP(A161,Kardex!$A$1:$K$1498,6,FALSE),"")</f>
        <v>0</v>
      </c>
      <c r="G161" s="21">
        <f>IFERROR(VLOOKUP(A161,Kardex!$A$1:$K$1498,7,FALSE),"")</f>
        <v>0</v>
      </c>
      <c r="H161" s="21" t="str">
        <f>IFERROR(VLOOKUP(A161,Kardex!$A$1:$K$1498,8,FALSE),"")</f>
        <v>un</v>
      </c>
      <c r="I161" s="45">
        <f>IFERROR(VLOOKUP($A161,Kardex!$A$1:$L$1498,9,FALSE),"")</f>
        <v>0</v>
      </c>
      <c r="J161" s="45">
        <f>IFERROR(VLOOKUP($A161,Kardex!$A$1:$L$1498,10,FALSE),"")</f>
        <v>2</v>
      </c>
      <c r="K161" s="45">
        <f>IFERROR(VLOOKUP($A161,Kardex!$A$1:$L$1498,11,FALSE),"")</f>
        <v>0</v>
      </c>
      <c r="L161" s="45">
        <f>IFERROR(VLOOKUP($A161,Kardex!$A$1:$L$1498,12,FALSE),"")</f>
        <v>2</v>
      </c>
    </row>
    <row r="162" spans="1:12" ht="12.75" customHeight="1" x14ac:dyDescent="0.2">
      <c r="A162" s="18">
        <v>161</v>
      </c>
      <c r="B162" s="19" t="str">
        <f>IF(IFERROR(VLOOKUP(A162,Kardex!$A$1:$K$1498,2,FALSE),"")=0,"",IFERROR(VLOOKUP(A162,Kardex!$A$1:$K$1498,2,FALSE),""))</f>
        <v/>
      </c>
      <c r="C162" s="19" t="str">
        <f>IFERROR(VLOOKUP(A162,Kardex!$A$1:$K$1498,3,FALSE),"")</f>
        <v>EEP</v>
      </c>
      <c r="D162" s="20" t="str">
        <f>IFERROR(VLOOKUP(A162,Kardex!$A$1:$K$1498,4,FALSE),"")</f>
        <v>Overol talla S</v>
      </c>
      <c r="E162" s="21" t="str">
        <f>IFERROR(VLOOKUP(A162,Kardex!$A$1:$K$1498,5,FALSE),"")</f>
        <v>Ar. Negro</v>
      </c>
      <c r="F162" s="21">
        <f>IFERROR(VLOOKUP(A162,Kardex!$A$1:$K$1498,6,FALSE),"")</f>
        <v>0</v>
      </c>
      <c r="G162" s="21">
        <f>IFERROR(VLOOKUP(A162,Kardex!$A$1:$K$1498,7,FALSE),"")</f>
        <v>0</v>
      </c>
      <c r="H162" s="21" t="str">
        <f>IFERROR(VLOOKUP(A162,Kardex!$A$1:$K$1498,8,FALSE),"")</f>
        <v>un</v>
      </c>
      <c r="I162" s="45">
        <f>IFERROR(VLOOKUP($A162,Kardex!$A$1:$L$1498,9,FALSE),"")</f>
        <v>2</v>
      </c>
      <c r="J162" s="45">
        <f>IFERROR(VLOOKUP($A162,Kardex!$A$1:$L$1498,10,FALSE),"")</f>
        <v>0</v>
      </c>
      <c r="K162" s="45">
        <f>IFERROR(VLOOKUP($A162,Kardex!$A$1:$L$1498,11,FALSE),"")</f>
        <v>1</v>
      </c>
      <c r="L162" s="45">
        <f>IFERROR(VLOOKUP($A162,Kardex!$A$1:$L$1498,12,FALSE),"")</f>
        <v>1</v>
      </c>
    </row>
    <row r="163" spans="1:12" ht="12.75" customHeight="1" x14ac:dyDescent="0.2">
      <c r="A163" s="18">
        <v>162</v>
      </c>
      <c r="B163" s="19" t="str">
        <f>IF(IFERROR(VLOOKUP(A163,Kardex!$A$1:$K$1498,2,FALSE),"")=0,"",IFERROR(VLOOKUP(A163,Kardex!$A$1:$K$1498,2,FALSE),""))</f>
        <v/>
      </c>
      <c r="C163" s="19" t="str">
        <f>IFERROR(VLOOKUP(A163,Kardex!$A$1:$K$1498,3,FALSE),"")</f>
        <v>EEP</v>
      </c>
      <c r="D163" s="20" t="str">
        <f>IFERROR(VLOOKUP(A163,Kardex!$A$1:$K$1498,4,FALSE),"")</f>
        <v>Overol talla M</v>
      </c>
      <c r="E163" s="21" t="str">
        <f>IFERROR(VLOOKUP(A163,Kardex!$A$1:$K$1498,5,FALSE),"")</f>
        <v>Ar. Negro</v>
      </c>
      <c r="F163" s="21">
        <f>IFERROR(VLOOKUP(A163,Kardex!$A$1:$K$1498,6,FALSE),"")</f>
        <v>0</v>
      </c>
      <c r="G163" s="21">
        <f>IFERROR(VLOOKUP(A163,Kardex!$A$1:$K$1498,7,FALSE),"")</f>
        <v>0</v>
      </c>
      <c r="H163" s="21" t="str">
        <f>IFERROR(VLOOKUP(A163,Kardex!$A$1:$K$1498,8,FALSE),"")</f>
        <v>un</v>
      </c>
      <c r="I163" s="45">
        <f>IFERROR(VLOOKUP($A163,Kardex!$A$1:$L$1498,9,FALSE),"")</f>
        <v>3</v>
      </c>
      <c r="J163" s="45">
        <f>IFERROR(VLOOKUP($A163,Kardex!$A$1:$L$1498,10,FALSE),"")</f>
        <v>0</v>
      </c>
      <c r="K163" s="45">
        <f>IFERROR(VLOOKUP($A163,Kardex!$A$1:$L$1498,11,FALSE),"")</f>
        <v>2</v>
      </c>
      <c r="L163" s="45">
        <f>IFERROR(VLOOKUP($A163,Kardex!$A$1:$L$1498,12,FALSE),"")</f>
        <v>1</v>
      </c>
    </row>
    <row r="164" spans="1:12" ht="12.75" customHeight="1" x14ac:dyDescent="0.2">
      <c r="A164" s="18">
        <v>163</v>
      </c>
      <c r="B164" s="19" t="str">
        <f>IF(IFERROR(VLOOKUP(A164,Kardex!$A$1:$K$1498,2,FALSE),"")=0,"",IFERROR(VLOOKUP(A164,Kardex!$A$1:$K$1498,2,FALSE),""))</f>
        <v/>
      </c>
      <c r="C164" s="19" t="str">
        <f>IFERROR(VLOOKUP(A164,Kardex!$A$1:$K$1498,3,FALSE),"")</f>
        <v>EEP</v>
      </c>
      <c r="D164" s="20" t="str">
        <f>IFERROR(VLOOKUP(A164,Kardex!$A$1:$K$1498,4,FALSE),"")</f>
        <v>Overol talla XXL</v>
      </c>
      <c r="E164" s="21" t="str">
        <f>IFERROR(VLOOKUP(A164,Kardex!$A$1:$K$1498,5,FALSE),"")</f>
        <v>Ar. Negro</v>
      </c>
      <c r="F164" s="21">
        <f>IFERROR(VLOOKUP(A164,Kardex!$A$1:$K$1498,6,FALSE),"")</f>
        <v>0</v>
      </c>
      <c r="G164" s="21">
        <f>IFERROR(VLOOKUP(A164,Kardex!$A$1:$K$1498,7,FALSE),"")</f>
        <v>0</v>
      </c>
      <c r="H164" s="21" t="str">
        <f>IFERROR(VLOOKUP(A164,Kardex!$A$1:$K$1498,8,FALSE),"")</f>
        <v>un</v>
      </c>
      <c r="I164" s="45">
        <f>IFERROR(VLOOKUP($A164,Kardex!$A$1:$L$1498,9,FALSE),"")</f>
        <v>0</v>
      </c>
      <c r="J164" s="45">
        <f>IFERROR(VLOOKUP($A164,Kardex!$A$1:$L$1498,10,FALSE),"")</f>
        <v>6</v>
      </c>
      <c r="K164" s="45">
        <f>IFERROR(VLOOKUP($A164,Kardex!$A$1:$L$1498,11,FALSE),"")</f>
        <v>0</v>
      </c>
      <c r="L164" s="45">
        <f>IFERROR(VLOOKUP($A164,Kardex!$A$1:$L$1498,12,FALSE),"")</f>
        <v>6</v>
      </c>
    </row>
    <row r="165" spans="1:12" ht="12.75" customHeight="1" x14ac:dyDescent="0.2">
      <c r="A165" s="18">
        <v>164</v>
      </c>
      <c r="B165" s="19" t="str">
        <f>IF(IFERROR(VLOOKUP(A165,Kardex!$A$1:$K$1498,2,FALSE),"")=0,"",IFERROR(VLOOKUP(A165,Kardex!$A$1:$K$1498,2,FALSE),""))</f>
        <v/>
      </c>
      <c r="C165" s="19" t="str">
        <f>IFERROR(VLOOKUP(A165,Kardex!$A$1:$K$1498,3,FALSE),"")</f>
        <v>EEP</v>
      </c>
      <c r="D165" s="20" t="str">
        <f>IFERROR(VLOOKUP(A165,Kardex!$A$1:$K$1498,4,FALSE),"")</f>
        <v>Botas de seguridad talla 34</v>
      </c>
      <c r="E165" s="21" t="str">
        <f>IFERROR(VLOOKUP(A165,Kardex!$A$1:$K$1498,5,FALSE),"")</f>
        <v>Ar. Negro</v>
      </c>
      <c r="F165" s="21">
        <f>IFERROR(VLOOKUP(A165,Kardex!$A$1:$K$1498,6,FALSE),"")</f>
        <v>0</v>
      </c>
      <c r="G165" s="21">
        <f>IFERROR(VLOOKUP(A165,Kardex!$A$1:$K$1498,7,FALSE),"")</f>
        <v>0</v>
      </c>
      <c r="H165" s="21" t="str">
        <f>IFERROR(VLOOKUP(A165,Kardex!$A$1:$K$1498,8,FALSE),"")</f>
        <v>un</v>
      </c>
      <c r="I165" s="45">
        <f>IFERROR(VLOOKUP($A165,Kardex!$A$1:$L$1498,9,FALSE),"")</f>
        <v>0</v>
      </c>
      <c r="J165" s="45">
        <f>IFERROR(VLOOKUP($A165,Kardex!$A$1:$L$1498,10,FALSE),"")</f>
        <v>2</v>
      </c>
      <c r="K165" s="45">
        <f>IFERROR(VLOOKUP($A165,Kardex!$A$1:$L$1498,11,FALSE),"")</f>
        <v>0</v>
      </c>
      <c r="L165" s="45">
        <f>IFERROR(VLOOKUP($A165,Kardex!$A$1:$L$1498,12,FALSE),"")</f>
        <v>2</v>
      </c>
    </row>
    <row r="166" spans="1:12" ht="12.75" customHeight="1" x14ac:dyDescent="0.2">
      <c r="A166" s="18">
        <v>165</v>
      </c>
      <c r="B166" s="19" t="str">
        <f>IF(IFERROR(VLOOKUP(A166,Kardex!$A$1:$K$1498,2,FALSE),"")=0,"",IFERROR(VLOOKUP(A166,Kardex!$A$1:$K$1498,2,FALSE),""))</f>
        <v/>
      </c>
      <c r="C166" s="19" t="str">
        <f>IFERROR(VLOOKUP(A166,Kardex!$A$1:$K$1498,3,FALSE),"")</f>
        <v>EEP</v>
      </c>
      <c r="D166" s="20" t="str">
        <f>IFERROR(VLOOKUP(A166,Kardex!$A$1:$K$1498,4,FALSE),"")</f>
        <v>Botas de seguridad talla 39</v>
      </c>
      <c r="E166" s="21" t="str">
        <f>IFERROR(VLOOKUP(A166,Kardex!$A$1:$K$1498,5,FALSE),"")</f>
        <v>Ar. Negro</v>
      </c>
      <c r="F166" s="21">
        <f>IFERROR(VLOOKUP(A166,Kardex!$A$1:$K$1498,6,FALSE),"")</f>
        <v>0</v>
      </c>
      <c r="G166" s="21">
        <f>IFERROR(VLOOKUP(A166,Kardex!$A$1:$K$1498,7,FALSE),"")</f>
        <v>0</v>
      </c>
      <c r="H166" s="21" t="str">
        <f>IFERROR(VLOOKUP(A166,Kardex!$A$1:$K$1498,8,FALSE),"")</f>
        <v>un</v>
      </c>
      <c r="I166" s="45">
        <f>IFERROR(VLOOKUP($A166,Kardex!$A$1:$L$1498,9,FALSE),"")</f>
        <v>0</v>
      </c>
      <c r="J166" s="45">
        <f>IFERROR(VLOOKUP($A166,Kardex!$A$1:$L$1498,10,FALSE),"")</f>
        <v>2</v>
      </c>
      <c r="K166" s="45">
        <f>IFERROR(VLOOKUP($A166,Kardex!$A$1:$L$1498,11,FALSE),"")</f>
        <v>0</v>
      </c>
      <c r="L166" s="45">
        <f>IFERROR(VLOOKUP($A166,Kardex!$A$1:$L$1498,12,FALSE),"")</f>
        <v>2</v>
      </c>
    </row>
    <row r="167" spans="1:12" ht="12.75" customHeight="1" x14ac:dyDescent="0.2">
      <c r="A167" s="18">
        <v>166</v>
      </c>
      <c r="B167" s="19" t="str">
        <f>IF(IFERROR(VLOOKUP(A167,Kardex!$A$1:$K$1498,2,FALSE),"")=0,"",IFERROR(VLOOKUP(A167,Kardex!$A$1:$K$1498,2,FALSE),""))</f>
        <v/>
      </c>
      <c r="C167" s="19" t="str">
        <f>IFERROR(VLOOKUP(A167,Kardex!$A$1:$K$1498,3,FALSE),"")</f>
        <v>EEP</v>
      </c>
      <c r="D167" s="20" t="str">
        <f>IFERROR(VLOOKUP(A167,Kardex!$A$1:$K$1498,4,FALSE),"")</f>
        <v>Botas de seguridad talla 40</v>
      </c>
      <c r="E167" s="21" t="str">
        <f>IFERROR(VLOOKUP(A167,Kardex!$A$1:$K$1498,5,FALSE),"")</f>
        <v>Ar. Negro</v>
      </c>
      <c r="F167" s="21">
        <f>IFERROR(VLOOKUP(A167,Kardex!$A$1:$K$1498,6,FALSE),"")</f>
        <v>0</v>
      </c>
      <c r="G167" s="21">
        <f>IFERROR(VLOOKUP(A167,Kardex!$A$1:$K$1498,7,FALSE),"")</f>
        <v>0</v>
      </c>
      <c r="H167" s="21" t="str">
        <f>IFERROR(VLOOKUP(A167,Kardex!$A$1:$K$1498,8,FALSE),"")</f>
        <v>un</v>
      </c>
      <c r="I167" s="45">
        <f>IFERROR(VLOOKUP($A167,Kardex!$A$1:$L$1498,9,FALSE),"")</f>
        <v>0</v>
      </c>
      <c r="J167" s="45">
        <f>IFERROR(VLOOKUP($A167,Kardex!$A$1:$L$1498,10,FALSE),"")</f>
        <v>1</v>
      </c>
      <c r="K167" s="45">
        <f>IFERROR(VLOOKUP($A167,Kardex!$A$1:$L$1498,11,FALSE),"")</f>
        <v>0</v>
      </c>
      <c r="L167" s="45">
        <f>IFERROR(VLOOKUP($A167,Kardex!$A$1:$L$1498,12,FALSE),"")</f>
        <v>1</v>
      </c>
    </row>
    <row r="168" spans="1:12" ht="12.75" customHeight="1" x14ac:dyDescent="0.2">
      <c r="A168" s="18">
        <v>167</v>
      </c>
      <c r="B168" s="19" t="str">
        <f>IF(IFERROR(VLOOKUP(A168,Kardex!$A$1:$K$1498,2,FALSE),"")=0,"",IFERROR(VLOOKUP(A168,Kardex!$A$1:$K$1498,2,FALSE),""))</f>
        <v/>
      </c>
      <c r="C168" s="19" t="str">
        <f>IFERROR(VLOOKUP(A168,Kardex!$A$1:$K$1498,3,FALSE),"")</f>
        <v>EEP</v>
      </c>
      <c r="D168" s="20" t="str">
        <f>IFERROR(VLOOKUP(A168,Kardex!$A$1:$K$1498,4,FALSE),"")</f>
        <v>Botas de seguridad talla 42</v>
      </c>
      <c r="E168" s="21" t="str">
        <f>IFERROR(VLOOKUP(A168,Kardex!$A$1:$K$1498,5,FALSE),"")</f>
        <v>Ar. Negro</v>
      </c>
      <c r="F168" s="21">
        <f>IFERROR(VLOOKUP(A168,Kardex!$A$1:$K$1498,6,FALSE),"")</f>
        <v>0</v>
      </c>
      <c r="G168" s="21">
        <f>IFERROR(VLOOKUP(A168,Kardex!$A$1:$K$1498,7,FALSE),"")</f>
        <v>0</v>
      </c>
      <c r="H168" s="21" t="str">
        <f>IFERROR(VLOOKUP(A168,Kardex!$A$1:$K$1498,8,FALSE),"")</f>
        <v>un</v>
      </c>
      <c r="I168" s="45">
        <f>IFERROR(VLOOKUP($A168,Kardex!$A$1:$L$1498,9,FALSE),"")</f>
        <v>2</v>
      </c>
      <c r="J168" s="45">
        <f>IFERROR(VLOOKUP($A168,Kardex!$A$1:$L$1498,10,FALSE),"")</f>
        <v>0</v>
      </c>
      <c r="K168" s="45">
        <f>IFERROR(VLOOKUP($A168,Kardex!$A$1:$L$1498,11,FALSE),"")</f>
        <v>0</v>
      </c>
      <c r="L168" s="45">
        <f>IFERROR(VLOOKUP($A168,Kardex!$A$1:$L$1498,12,FALSE),"")</f>
        <v>2</v>
      </c>
    </row>
    <row r="169" spans="1:12" ht="12.75" customHeight="1" x14ac:dyDescent="0.2">
      <c r="A169" s="18">
        <v>168</v>
      </c>
      <c r="B169" s="19" t="str">
        <f>IF(IFERROR(VLOOKUP(A169,Kardex!$A$1:$K$1498,2,FALSE),"")=0,"",IFERROR(VLOOKUP(A169,Kardex!$A$1:$K$1498,2,FALSE),""))</f>
        <v/>
      </c>
      <c r="C169" s="19" t="str">
        <f>IFERROR(VLOOKUP(A169,Kardex!$A$1:$K$1498,3,FALSE),"")</f>
        <v>Otros</v>
      </c>
      <c r="D169" s="20" t="str">
        <f>IFERROR(VLOOKUP(A169,Kardex!$A$1:$K$1498,4,FALSE),"")</f>
        <v>Caja de barra antipánico</v>
      </c>
      <c r="E169" s="21" t="str">
        <f>IFERROR(VLOOKUP(A169,Kardex!$A$1:$K$1498,5,FALSE),"")</f>
        <v>Ar. Negro</v>
      </c>
      <c r="F169" s="21">
        <f>IFERROR(VLOOKUP(A169,Kardex!$A$1:$K$1498,6,FALSE),"")</f>
        <v>0</v>
      </c>
      <c r="G169" s="21">
        <f>IFERROR(VLOOKUP(A169,Kardex!$A$1:$K$1498,7,FALSE),"")</f>
        <v>0</v>
      </c>
      <c r="H169" s="21" t="str">
        <f>IFERROR(VLOOKUP(A169,Kardex!$A$1:$K$1498,8,FALSE),"")</f>
        <v>un</v>
      </c>
      <c r="I169" s="45">
        <f>IFERROR(VLOOKUP($A169,Kardex!$A$1:$L$1498,9,FALSE),"")</f>
        <v>1</v>
      </c>
      <c r="J169" s="45">
        <f>IFERROR(VLOOKUP($A169,Kardex!$A$1:$L$1498,10,FALSE),"")</f>
        <v>0</v>
      </c>
      <c r="K169" s="45">
        <f>IFERROR(VLOOKUP($A169,Kardex!$A$1:$L$1498,11,FALSE),"")</f>
        <v>0</v>
      </c>
      <c r="L169" s="45">
        <f>IFERROR(VLOOKUP($A169,Kardex!$A$1:$L$1498,12,FALSE),"")</f>
        <v>1</v>
      </c>
    </row>
    <row r="170" spans="1:12" ht="12.75" customHeight="1" x14ac:dyDescent="0.2">
      <c r="A170" s="18">
        <v>169</v>
      </c>
      <c r="B170" s="19" t="str">
        <f>IF(IFERROR(VLOOKUP(A170,Kardex!$A$1:$K$1498,2,FALSE),"")=0,"",IFERROR(VLOOKUP(A170,Kardex!$A$1:$K$1498,2,FALSE),""))</f>
        <v/>
      </c>
      <c r="C170" s="19" t="str">
        <f>IFERROR(VLOOKUP(A170,Kardex!$A$1:$K$1498,3,FALSE),"")</f>
        <v>Otros</v>
      </c>
      <c r="D170" s="20" t="str">
        <f>IFERROR(VLOOKUP(A170,Kardex!$A$1:$K$1498,4,FALSE),"")</f>
        <v>Caja de herramientas</v>
      </c>
      <c r="E170" s="21" t="str">
        <f>IFERROR(VLOOKUP(A170,Kardex!$A$1:$K$1498,5,FALSE),"")</f>
        <v>Ar. Negro</v>
      </c>
      <c r="F170" s="21">
        <f>IFERROR(VLOOKUP(A170,Kardex!$A$1:$K$1498,6,FALSE),"")</f>
        <v>0</v>
      </c>
      <c r="G170" s="21">
        <f>IFERROR(VLOOKUP(A170,Kardex!$A$1:$K$1498,7,FALSE),"")</f>
        <v>0</v>
      </c>
      <c r="H170" s="21" t="str">
        <f>IFERROR(VLOOKUP(A170,Kardex!$A$1:$K$1498,8,FALSE),"")</f>
        <v>un</v>
      </c>
      <c r="I170" s="45">
        <f>IFERROR(VLOOKUP($A170,Kardex!$A$1:$L$1498,9,FALSE),"")</f>
        <v>0</v>
      </c>
      <c r="J170" s="45">
        <f>IFERROR(VLOOKUP($A170,Kardex!$A$1:$L$1498,10,FALSE),"")</f>
        <v>2</v>
      </c>
      <c r="K170" s="45">
        <f>IFERROR(VLOOKUP($A170,Kardex!$A$1:$L$1498,11,FALSE),"")</f>
        <v>0</v>
      </c>
      <c r="L170" s="45">
        <f>IFERROR(VLOOKUP($A170,Kardex!$A$1:$L$1498,12,FALSE),"")</f>
        <v>2</v>
      </c>
    </row>
    <row r="171" spans="1:12" ht="12.75" customHeight="1" x14ac:dyDescent="0.2">
      <c r="A171" s="18">
        <v>170</v>
      </c>
      <c r="B171" s="19" t="str">
        <f>IF(IFERROR(VLOOKUP(A171,Kardex!$A$1:$K$1498,2,FALSE),"")=0,"",IFERROR(VLOOKUP(A171,Kardex!$A$1:$K$1498,2,FALSE),""))</f>
        <v/>
      </c>
      <c r="C171" s="19" t="str">
        <f>IFERROR(VLOOKUP(A171,Kardex!$A$1:$K$1498,3,FALSE),"")</f>
        <v>Papeleria</v>
      </c>
      <c r="D171" s="20" t="str">
        <f>IFERROR(VLOOKUP(A171,Kardex!$A$1:$K$1498,4,FALSE),"")</f>
        <v>Block tamaño carta</v>
      </c>
      <c r="E171" s="21" t="str">
        <f>IFERROR(VLOOKUP(A171,Kardex!$A$1:$K$1498,5,FALSE),"")</f>
        <v>Ar. Negro</v>
      </c>
      <c r="F171" s="21">
        <f>IFERROR(VLOOKUP(A171,Kardex!$A$1:$K$1498,6,FALSE),"")</f>
        <v>0</v>
      </c>
      <c r="G171" s="21">
        <f>IFERROR(VLOOKUP(A171,Kardex!$A$1:$K$1498,7,FALSE),"")</f>
        <v>0</v>
      </c>
      <c r="H171" s="21" t="str">
        <f>IFERROR(VLOOKUP(A171,Kardex!$A$1:$K$1498,8,FALSE),"")</f>
        <v>un</v>
      </c>
      <c r="I171" s="45">
        <f>IFERROR(VLOOKUP($A171,Kardex!$A$1:$L$1498,9,FALSE),"")</f>
        <v>1</v>
      </c>
      <c r="J171" s="45">
        <f>IFERROR(VLOOKUP($A171,Kardex!$A$1:$L$1498,10,FALSE),"")</f>
        <v>0</v>
      </c>
      <c r="K171" s="45">
        <f>IFERROR(VLOOKUP($A171,Kardex!$A$1:$L$1498,11,FALSE),"")</f>
        <v>0</v>
      </c>
      <c r="L171" s="45">
        <f>IFERROR(VLOOKUP($A171,Kardex!$A$1:$L$1498,12,FALSE),"")</f>
        <v>1</v>
      </c>
    </row>
    <row r="172" spans="1:12" ht="12.75" customHeight="1" x14ac:dyDescent="0.2">
      <c r="A172" s="18">
        <v>171</v>
      </c>
      <c r="B172" s="19" t="str">
        <f>IF(IFERROR(VLOOKUP(A172,Kardex!$A$1:$K$1498,2,FALSE),"")=0,"",IFERROR(VLOOKUP(A172,Kardex!$A$1:$K$1498,2,FALSE),""))</f>
        <v/>
      </c>
      <c r="C172" s="19" t="str">
        <f>IFERROR(VLOOKUP(A172,Kardex!$A$1:$K$1498,3,FALSE),"")</f>
        <v>Papeleria</v>
      </c>
      <c r="D172" s="20" t="str">
        <f>IFERROR(VLOOKUP(A172,Kardex!$A$1:$K$1498,4,FALSE),"")</f>
        <v>Resma de papel tamaño carta</v>
      </c>
      <c r="E172" s="21" t="str">
        <f>IFERROR(VLOOKUP(A172,Kardex!$A$1:$K$1498,5,FALSE),"")</f>
        <v>Ar. Negro</v>
      </c>
      <c r="F172" s="21">
        <f>IFERROR(VLOOKUP(A172,Kardex!$A$1:$K$1498,6,FALSE),"")</f>
        <v>0</v>
      </c>
      <c r="G172" s="21">
        <f>IFERROR(VLOOKUP(A172,Kardex!$A$1:$K$1498,7,FALSE),"")</f>
        <v>0</v>
      </c>
      <c r="H172" s="21" t="str">
        <f>IFERROR(VLOOKUP(A172,Kardex!$A$1:$K$1498,8,FALSE),"")</f>
        <v>un</v>
      </c>
      <c r="I172" s="45">
        <f>IFERROR(VLOOKUP($A172,Kardex!$A$1:$L$1498,9,FALSE),"")</f>
        <v>0</v>
      </c>
      <c r="J172" s="45">
        <f>IFERROR(VLOOKUP($A172,Kardex!$A$1:$L$1498,10,FALSE),"")</f>
        <v>1</v>
      </c>
      <c r="K172" s="45">
        <f>IFERROR(VLOOKUP($A172,Kardex!$A$1:$L$1498,11,FALSE),"")</f>
        <v>0</v>
      </c>
      <c r="L172" s="45">
        <f>IFERROR(VLOOKUP($A172,Kardex!$A$1:$L$1498,12,FALSE),"")</f>
        <v>1</v>
      </c>
    </row>
    <row r="173" spans="1:12" ht="12.75" customHeight="1" x14ac:dyDescent="0.2">
      <c r="A173" s="18">
        <v>172</v>
      </c>
      <c r="B173" s="19" t="str">
        <f>IF(IFERROR(VLOOKUP(A173,Kardex!$A$1:$K$1498,2,FALSE),"")=0,"",IFERROR(VLOOKUP(A173,Kardex!$A$1:$K$1498,2,FALSE),""))</f>
        <v/>
      </c>
      <c r="C173" s="19" t="str">
        <f>IFERROR(VLOOKUP(A173,Kardex!$A$1:$K$1498,3,FALSE),"")</f>
        <v>Aseo</v>
      </c>
      <c r="D173" s="20" t="str">
        <f>IFERROR(VLOOKUP(A173,Kardex!$A$1:$K$1498,4,FALSE),"")</f>
        <v>Escobon</v>
      </c>
      <c r="E173" s="21" t="str">
        <f>IFERROR(VLOOKUP(A173,Kardex!$A$1:$K$1498,5,FALSE),"")</f>
        <v>Ar. Negro</v>
      </c>
      <c r="F173" s="21">
        <f>IFERROR(VLOOKUP(A173,Kardex!$A$1:$K$1498,6,FALSE),"")</f>
        <v>0</v>
      </c>
      <c r="G173" s="21">
        <f>IFERROR(VLOOKUP(A173,Kardex!$A$1:$K$1498,7,FALSE),"")</f>
        <v>0</v>
      </c>
      <c r="H173" s="21" t="str">
        <f>IFERROR(VLOOKUP(A173,Kardex!$A$1:$K$1498,8,FALSE),"")</f>
        <v>un</v>
      </c>
      <c r="I173" s="45">
        <f>IFERROR(VLOOKUP($A173,Kardex!$A$1:$L$1498,9,FALSE),"")</f>
        <v>1</v>
      </c>
      <c r="J173" s="45">
        <f>IFERROR(VLOOKUP($A173,Kardex!$A$1:$L$1498,10,FALSE),"")</f>
        <v>0</v>
      </c>
      <c r="K173" s="45">
        <f>IFERROR(VLOOKUP($A173,Kardex!$A$1:$L$1498,11,FALSE),"")</f>
        <v>0</v>
      </c>
      <c r="L173" s="45">
        <f>IFERROR(VLOOKUP($A173,Kardex!$A$1:$L$1498,12,FALSE),"")</f>
        <v>1</v>
      </c>
    </row>
    <row r="174" spans="1:12" ht="12.75" customHeight="1" x14ac:dyDescent="0.2">
      <c r="A174" s="18">
        <v>173</v>
      </c>
      <c r="B174" s="19" t="str">
        <f>IF(IFERROR(VLOOKUP(A174,Kardex!$A$1:$K$1498,2,FALSE),"")=0,"",IFERROR(VLOOKUP(A174,Kardex!$A$1:$K$1498,2,FALSE),""))</f>
        <v/>
      </c>
      <c r="C174" s="19" t="str">
        <f>IFERROR(VLOOKUP(A174,Kardex!$A$1:$K$1498,3,FALSE),"")</f>
        <v>Equipo PC</v>
      </c>
      <c r="D174" s="20" t="str">
        <f>IFERROR(VLOOKUP(A174,Kardex!$A$1:$K$1498,4,FALSE),"")</f>
        <v>Cajas para equipo portatil hp</v>
      </c>
      <c r="E174" s="21" t="str">
        <f>IFERROR(VLOOKUP(A174,Kardex!$A$1:$K$1498,5,FALSE),"")</f>
        <v>Ar. Negro</v>
      </c>
      <c r="F174" s="21">
        <f>IFERROR(VLOOKUP(A174,Kardex!$A$1:$K$1498,6,FALSE),"")</f>
        <v>0</v>
      </c>
      <c r="G174" s="21">
        <f>IFERROR(VLOOKUP(A174,Kardex!$A$1:$K$1498,7,FALSE),"")</f>
        <v>0</v>
      </c>
      <c r="H174" s="21" t="str">
        <f>IFERROR(VLOOKUP(A174,Kardex!$A$1:$K$1498,8,FALSE),"")</f>
        <v>un</v>
      </c>
      <c r="I174" s="45">
        <f>IFERROR(VLOOKUP($A174,Kardex!$A$1:$L$1498,9,FALSE),"")</f>
        <v>0</v>
      </c>
      <c r="J174" s="45">
        <f>IFERROR(VLOOKUP($A174,Kardex!$A$1:$L$1498,10,FALSE),"")</f>
        <v>9</v>
      </c>
      <c r="K174" s="45">
        <f>IFERROR(VLOOKUP($A174,Kardex!$A$1:$L$1498,11,FALSE),"")</f>
        <v>0</v>
      </c>
      <c r="L174" s="45">
        <f>IFERROR(VLOOKUP($A174,Kardex!$A$1:$L$1498,12,FALSE),"")</f>
        <v>9</v>
      </c>
    </row>
    <row r="175" spans="1:12" ht="12.75" customHeight="1" x14ac:dyDescent="0.2">
      <c r="A175" s="18">
        <v>174</v>
      </c>
      <c r="B175" s="19" t="str">
        <f>IF(IFERROR(VLOOKUP(A175,Kardex!$A$1:$K$1498,2,FALSE),"")=0,"",IFERROR(VLOOKUP(A175,Kardex!$A$1:$K$1498,2,FALSE),""))</f>
        <v/>
      </c>
      <c r="C175" s="19" t="str">
        <f>IFERROR(VLOOKUP(A175,Kardex!$A$1:$K$1498,3,FALSE),"")</f>
        <v>Equipo PC</v>
      </c>
      <c r="D175" s="20" t="str">
        <f>IFERROR(VLOOKUP(A175,Kardex!$A$1:$K$1498,4,FALSE),"")</f>
        <v>Equipo portantil hp</v>
      </c>
      <c r="E175" s="21" t="str">
        <f>IFERROR(VLOOKUP(A175,Kardex!$A$1:$K$1498,5,FALSE),"")</f>
        <v>Ar. Negro</v>
      </c>
      <c r="F175" s="21">
        <f>IFERROR(VLOOKUP(A175,Kardex!$A$1:$K$1498,6,FALSE),"")</f>
        <v>0</v>
      </c>
      <c r="G175" s="21">
        <f>IFERROR(VLOOKUP(A175,Kardex!$A$1:$K$1498,7,FALSE),"")</f>
        <v>0</v>
      </c>
      <c r="H175" s="21" t="str">
        <f>IFERROR(VLOOKUP(A175,Kardex!$A$1:$K$1498,8,FALSE),"")</f>
        <v>un</v>
      </c>
      <c r="I175" s="45">
        <f>IFERROR(VLOOKUP($A175,Kardex!$A$1:$L$1498,9,FALSE),"")</f>
        <v>0</v>
      </c>
      <c r="J175" s="45">
        <f>IFERROR(VLOOKUP($A175,Kardex!$A$1:$L$1498,10,FALSE),"")</f>
        <v>11</v>
      </c>
      <c r="K175" s="45">
        <f>IFERROR(VLOOKUP($A175,Kardex!$A$1:$L$1498,11,FALSE),"")</f>
        <v>0</v>
      </c>
      <c r="L175" s="45">
        <f>IFERROR(VLOOKUP($A175,Kardex!$A$1:$L$1498,12,FALSE),"")</f>
        <v>11</v>
      </c>
    </row>
    <row r="176" spans="1:12" ht="12.75" customHeight="1" x14ac:dyDescent="0.2">
      <c r="A176" s="18">
        <v>175</v>
      </c>
      <c r="B176" s="19" t="str">
        <f>IF(IFERROR(VLOOKUP(A176,Kardex!$A$1:$K$1498,2,FALSE),"")=0,"",IFERROR(VLOOKUP(A176,Kardex!$A$1:$K$1498,2,FALSE),""))</f>
        <v/>
      </c>
      <c r="C176" s="19" t="str">
        <f>IFERROR(VLOOKUP(A176,Kardex!$A$1:$K$1498,3,FALSE),"")</f>
        <v>General</v>
      </c>
      <c r="D176" s="20" t="str">
        <f>IFERROR(VLOOKUP(A176,Kardex!$A$1:$K$1498,4,FALSE),"")</f>
        <v>Banco para acolilladora</v>
      </c>
      <c r="E176" s="21" t="str">
        <f>IFERROR(VLOOKUP(A176,Kardex!$A$1:$K$1498,5,FALSE),"")</f>
        <v>Taller</v>
      </c>
      <c r="F176" s="21">
        <f>IFERROR(VLOOKUP(A176,Kardex!$A$1:$K$1498,6,FALSE),"")</f>
        <v>0</v>
      </c>
      <c r="G176" s="21">
        <f>IFERROR(VLOOKUP(A176,Kardex!$A$1:$K$1498,7,FALSE),"")</f>
        <v>0</v>
      </c>
      <c r="H176" s="21" t="str">
        <f>IFERROR(VLOOKUP(A176,Kardex!$A$1:$K$1498,8,FALSE),"")</f>
        <v>un</v>
      </c>
      <c r="I176" s="45">
        <f>IFERROR(VLOOKUP($A176,Kardex!$A$1:$L$1498,9,FALSE),"")</f>
        <v>1</v>
      </c>
      <c r="J176" s="45">
        <f>IFERROR(VLOOKUP($A176,Kardex!$A$1:$L$1498,10,FALSE),"")</f>
        <v>0</v>
      </c>
      <c r="K176" s="45">
        <f>IFERROR(VLOOKUP($A176,Kardex!$A$1:$L$1498,11,FALSE),"")</f>
        <v>0</v>
      </c>
      <c r="L176" s="45">
        <f>IFERROR(VLOOKUP($A176,Kardex!$A$1:$L$1498,12,FALSE),"")</f>
        <v>1</v>
      </c>
    </row>
    <row r="177" spans="1:12" ht="12.75" customHeight="1" x14ac:dyDescent="0.2">
      <c r="A177" s="18">
        <v>176</v>
      </c>
      <c r="B177" s="19" t="str">
        <f>IF(IFERROR(VLOOKUP(A177,Kardex!$A$1:$K$1498,2,FALSE),"")=0,"",IFERROR(VLOOKUP(A177,Kardex!$A$1:$K$1498,2,FALSE),""))</f>
        <v/>
      </c>
      <c r="C177" s="19" t="str">
        <f>IFERROR(VLOOKUP(A177,Kardex!$A$1:$K$1498,3,FALSE),"")</f>
        <v>General</v>
      </c>
      <c r="D177" s="20" t="str">
        <f>IFERROR(VLOOKUP(A177,Kardex!$A$1:$K$1498,4,FALSE),"")</f>
        <v>Espejo</v>
      </c>
      <c r="E177" s="21" t="str">
        <f>IFERROR(VLOOKUP(A177,Kardex!$A$1:$K$1498,5,FALSE),"")</f>
        <v>Taller</v>
      </c>
      <c r="F177" s="21">
        <f>IFERROR(VLOOKUP(A177,Kardex!$A$1:$K$1498,6,FALSE),"")</f>
        <v>0</v>
      </c>
      <c r="G177" s="21">
        <f>IFERROR(VLOOKUP(A177,Kardex!$A$1:$K$1498,7,FALSE),"")</f>
        <v>0</v>
      </c>
      <c r="H177" s="21" t="str">
        <f>IFERROR(VLOOKUP(A177,Kardex!$A$1:$K$1498,8,FALSE),"")</f>
        <v>un</v>
      </c>
      <c r="I177" s="45">
        <f>IFERROR(VLOOKUP($A177,Kardex!$A$1:$L$1498,9,FALSE),"")</f>
        <v>1</v>
      </c>
      <c r="J177" s="45">
        <f>IFERROR(VLOOKUP($A177,Kardex!$A$1:$L$1498,10,FALSE),"")</f>
        <v>0</v>
      </c>
      <c r="K177" s="45">
        <f>IFERROR(VLOOKUP($A177,Kardex!$A$1:$L$1498,11,FALSE),"")</f>
        <v>0</v>
      </c>
      <c r="L177" s="45">
        <f>IFERROR(VLOOKUP($A177,Kardex!$A$1:$L$1498,12,FALSE),"")</f>
        <v>1</v>
      </c>
    </row>
    <row r="178" spans="1:12" ht="12.75" customHeight="1" x14ac:dyDescent="0.2">
      <c r="A178" s="18">
        <v>177</v>
      </c>
      <c r="B178" s="19" t="str">
        <f>IF(IFERROR(VLOOKUP(A178,Kardex!$A$1:$K$1498,2,FALSE),"")=0,"",IFERROR(VLOOKUP(A178,Kardex!$A$1:$K$1498,2,FALSE),""))</f>
        <v/>
      </c>
      <c r="C178" s="19" t="str">
        <f>IFERROR(VLOOKUP(A178,Kardex!$A$1:$K$1498,3,FALSE),"")</f>
        <v>General</v>
      </c>
      <c r="D178" s="20" t="str">
        <f>IFERROR(VLOOKUP(A178,Kardex!$A$1:$K$1498,4,FALSE),"")</f>
        <v>Estante negro con madera</v>
      </c>
      <c r="E178" s="21" t="str">
        <f>IFERROR(VLOOKUP(A178,Kardex!$A$1:$K$1498,5,FALSE),"")</f>
        <v>Taller</v>
      </c>
      <c r="F178" s="21">
        <f>IFERROR(VLOOKUP(A178,Kardex!$A$1:$K$1498,6,FALSE),"")</f>
        <v>0</v>
      </c>
      <c r="G178" s="21">
        <f>IFERROR(VLOOKUP(A178,Kardex!$A$1:$K$1498,7,FALSE),"")</f>
        <v>0</v>
      </c>
      <c r="H178" s="21" t="str">
        <f>IFERROR(VLOOKUP(A178,Kardex!$A$1:$K$1498,8,FALSE),"")</f>
        <v>un</v>
      </c>
      <c r="I178" s="45">
        <f>IFERROR(VLOOKUP($A178,Kardex!$A$1:$L$1498,9,FALSE),"")</f>
        <v>1</v>
      </c>
      <c r="J178" s="45">
        <f>IFERROR(VLOOKUP($A178,Kardex!$A$1:$L$1498,10,FALSE),"")</f>
        <v>0</v>
      </c>
      <c r="K178" s="45">
        <f>IFERROR(VLOOKUP($A178,Kardex!$A$1:$L$1498,11,FALSE),"")</f>
        <v>0</v>
      </c>
      <c r="L178" s="45">
        <f>IFERROR(VLOOKUP($A178,Kardex!$A$1:$L$1498,12,FALSE),"")</f>
        <v>1</v>
      </c>
    </row>
    <row r="179" spans="1:12" ht="12.75" customHeight="1" x14ac:dyDescent="0.2">
      <c r="A179" s="18">
        <v>178</v>
      </c>
      <c r="B179" s="19" t="str">
        <f>IF(IFERROR(VLOOKUP(A179,Kardex!$A$1:$K$1498,2,FALSE),"")=0,"",IFERROR(VLOOKUP(A179,Kardex!$A$1:$K$1498,2,FALSE),""))</f>
        <v/>
      </c>
      <c r="C179" s="19" t="str">
        <f>IFERROR(VLOOKUP(A179,Kardex!$A$1:$K$1498,3,FALSE),"")</f>
        <v>General</v>
      </c>
      <c r="D179" s="20" t="str">
        <f>IFERROR(VLOOKUP(A179,Kardex!$A$1:$K$1498,4,FALSE),"")</f>
        <v>Mesa de aprendiz</v>
      </c>
      <c r="E179" s="21" t="str">
        <f>IFERROR(VLOOKUP(A179,Kardex!$A$1:$K$1498,5,FALSE),"")</f>
        <v>Taller</v>
      </c>
      <c r="F179" s="21">
        <f>IFERROR(VLOOKUP(A179,Kardex!$A$1:$K$1498,6,FALSE),"")</f>
        <v>0</v>
      </c>
      <c r="G179" s="21">
        <f>IFERROR(VLOOKUP(A179,Kardex!$A$1:$K$1498,7,FALSE),"")</f>
        <v>0</v>
      </c>
      <c r="H179" s="21" t="str">
        <f>IFERROR(VLOOKUP(A179,Kardex!$A$1:$K$1498,8,FALSE),"")</f>
        <v>un</v>
      </c>
      <c r="I179" s="45">
        <f>IFERROR(VLOOKUP($A179,Kardex!$A$1:$L$1498,9,FALSE),"")</f>
        <v>3</v>
      </c>
      <c r="J179" s="45">
        <f>IFERROR(VLOOKUP($A179,Kardex!$A$1:$L$1498,10,FALSE),"")</f>
        <v>0</v>
      </c>
      <c r="K179" s="45">
        <f>IFERROR(VLOOKUP($A179,Kardex!$A$1:$L$1498,11,FALSE),"")</f>
        <v>0</v>
      </c>
      <c r="L179" s="45">
        <f>IFERROR(VLOOKUP($A179,Kardex!$A$1:$L$1498,12,FALSE),"")</f>
        <v>3</v>
      </c>
    </row>
    <row r="180" spans="1:12" ht="12.75" customHeight="1" x14ac:dyDescent="0.2">
      <c r="A180" s="18">
        <v>179</v>
      </c>
      <c r="B180" s="19" t="str">
        <f>IF(IFERROR(VLOOKUP(A180,Kardex!$A$1:$K$1498,2,FALSE),"")=0,"",IFERROR(VLOOKUP(A180,Kardex!$A$1:$K$1498,2,FALSE),""))</f>
        <v/>
      </c>
      <c r="C180" s="19" t="str">
        <f>IFERROR(VLOOKUP(A180,Kardex!$A$1:$K$1498,3,FALSE),"")</f>
        <v>General</v>
      </c>
      <c r="D180" s="20" t="str">
        <f>IFERROR(VLOOKUP(A180,Kardex!$A$1:$K$1498,4,FALSE),"")</f>
        <v>Escritorio para instructor</v>
      </c>
      <c r="E180" s="21" t="str">
        <f>IFERROR(VLOOKUP(A180,Kardex!$A$1:$K$1498,5,FALSE),"")</f>
        <v>Taller</v>
      </c>
      <c r="F180" s="21">
        <f>IFERROR(VLOOKUP(A180,Kardex!$A$1:$K$1498,6,FALSE),"")</f>
        <v>0</v>
      </c>
      <c r="G180" s="21">
        <f>IFERROR(VLOOKUP(A180,Kardex!$A$1:$K$1498,7,FALSE),"")</f>
        <v>0</v>
      </c>
      <c r="H180" s="21" t="str">
        <f>IFERROR(VLOOKUP(A180,Kardex!$A$1:$K$1498,8,FALSE),"")</f>
        <v>un</v>
      </c>
      <c r="I180" s="45">
        <f>IFERROR(VLOOKUP($A180,Kardex!$A$1:$L$1498,9,FALSE),"")</f>
        <v>1</v>
      </c>
      <c r="J180" s="45">
        <f>IFERROR(VLOOKUP($A180,Kardex!$A$1:$L$1498,10,FALSE),"")</f>
        <v>0</v>
      </c>
      <c r="K180" s="45">
        <f>IFERROR(VLOOKUP($A180,Kardex!$A$1:$L$1498,11,FALSE),"")</f>
        <v>0</v>
      </c>
      <c r="L180" s="45">
        <f>IFERROR(VLOOKUP($A180,Kardex!$A$1:$L$1498,12,FALSE),"")</f>
        <v>1</v>
      </c>
    </row>
    <row r="181" spans="1:12" ht="12.75" customHeight="1" x14ac:dyDescent="0.2">
      <c r="A181" s="18">
        <v>180</v>
      </c>
      <c r="B181" s="19" t="str">
        <f>IF(IFERROR(VLOOKUP(A181,Kardex!$A$1:$K$1498,2,FALSE),"")=0,"",IFERROR(VLOOKUP(A181,Kardex!$A$1:$K$1498,2,FALSE),""))</f>
        <v/>
      </c>
      <c r="C181" s="19" t="str">
        <f>IFERROR(VLOOKUP(A181,Kardex!$A$1:$K$1498,3,FALSE),"")</f>
        <v>General</v>
      </c>
      <c r="D181" s="20" t="str">
        <f>IFERROR(VLOOKUP(A181,Kardex!$A$1:$K$1498,4,FALSE),"")</f>
        <v>Sillas metalicas con base y espaldar plastico color verde</v>
      </c>
      <c r="E181" s="21" t="str">
        <f>IFERROR(VLOOKUP(A181,Kardex!$A$1:$K$1498,5,FALSE),"")</f>
        <v>Taller</v>
      </c>
      <c r="F181" s="21">
        <f>IFERROR(VLOOKUP(A181,Kardex!$A$1:$K$1498,6,FALSE),"")</f>
        <v>0</v>
      </c>
      <c r="G181" s="21">
        <f>IFERROR(VLOOKUP(A181,Kardex!$A$1:$K$1498,7,FALSE),"")</f>
        <v>0</v>
      </c>
      <c r="H181" s="21" t="str">
        <f>IFERROR(VLOOKUP(A181,Kardex!$A$1:$K$1498,8,FALSE),"")</f>
        <v>un</v>
      </c>
      <c r="I181" s="45">
        <f>IFERROR(VLOOKUP($A181,Kardex!$A$1:$L$1498,9,FALSE),"")</f>
        <v>33</v>
      </c>
      <c r="J181" s="45">
        <f>IFERROR(VLOOKUP($A181,Kardex!$A$1:$L$1498,10,FALSE),"")</f>
        <v>0</v>
      </c>
      <c r="K181" s="45">
        <f>IFERROR(VLOOKUP($A181,Kardex!$A$1:$L$1498,11,FALSE),"")</f>
        <v>0</v>
      </c>
      <c r="L181" s="45">
        <f>IFERROR(VLOOKUP($A181,Kardex!$A$1:$L$1498,12,FALSE),"")</f>
        <v>33</v>
      </c>
    </row>
    <row r="182" spans="1:12" ht="12.75" customHeight="1" x14ac:dyDescent="0.2">
      <c r="A182" s="18">
        <v>181</v>
      </c>
      <c r="B182" s="19" t="str">
        <f>IF(IFERROR(VLOOKUP(A182,Kardex!$A$1:$K$1498,2,FALSE),"")=0,"",IFERROR(VLOOKUP(A182,Kardex!$A$1:$K$1498,2,FALSE),""))</f>
        <v/>
      </c>
      <c r="C182" s="19" t="str">
        <f>IFERROR(VLOOKUP(A182,Kardex!$A$1:$K$1498,3,FALSE),"")</f>
        <v>General</v>
      </c>
      <c r="D182" s="20" t="str">
        <f>IFERROR(VLOOKUP(A182,Kardex!$A$1:$K$1498,4,FALSE),"")</f>
        <v>Sillas plasticas color verde</v>
      </c>
      <c r="E182" s="21" t="str">
        <f>IFERROR(VLOOKUP(A182,Kardex!$A$1:$K$1498,5,FALSE),"")</f>
        <v>Taller</v>
      </c>
      <c r="F182" s="21">
        <f>IFERROR(VLOOKUP(A182,Kardex!$A$1:$K$1498,6,FALSE),"")</f>
        <v>0</v>
      </c>
      <c r="G182" s="21">
        <f>IFERROR(VLOOKUP(A182,Kardex!$A$1:$K$1498,7,FALSE),"")</f>
        <v>0</v>
      </c>
      <c r="H182" s="21" t="str">
        <f>IFERROR(VLOOKUP(A182,Kardex!$A$1:$K$1498,8,FALSE),"")</f>
        <v>un</v>
      </c>
      <c r="I182" s="45">
        <f>IFERROR(VLOOKUP($A182,Kardex!$A$1:$L$1498,9,FALSE),"")</f>
        <v>3</v>
      </c>
      <c r="J182" s="45">
        <f>IFERROR(VLOOKUP($A182,Kardex!$A$1:$L$1498,10,FALSE),"")</f>
        <v>0</v>
      </c>
      <c r="K182" s="45">
        <f>IFERROR(VLOOKUP($A182,Kardex!$A$1:$L$1498,11,FALSE),"")</f>
        <v>0</v>
      </c>
      <c r="L182" s="45">
        <f>IFERROR(VLOOKUP($A182,Kardex!$A$1:$L$1498,12,FALSE),"")</f>
        <v>3</v>
      </c>
    </row>
    <row r="183" spans="1:12" ht="12.75" customHeight="1" x14ac:dyDescent="0.2">
      <c r="A183" s="18">
        <v>182</v>
      </c>
      <c r="B183" s="19" t="str">
        <f>IF(IFERROR(VLOOKUP(A183,Kardex!$A$1:$K$1498,2,FALSE),"")=0,"",IFERROR(VLOOKUP(A183,Kardex!$A$1:$K$1498,2,FALSE),""))</f>
        <v/>
      </c>
      <c r="C183" s="19" t="str">
        <f>IFERROR(VLOOKUP(A183,Kardex!$A$1:$K$1498,3,FALSE),"")</f>
        <v>General</v>
      </c>
      <c r="D183" s="20" t="str">
        <f>IFERROR(VLOOKUP(A183,Kardex!$A$1:$K$1498,4,FALSE),"")</f>
        <v xml:space="preserve">Stantes </v>
      </c>
      <c r="E183" s="21" t="str">
        <f>IFERROR(VLOOKUP(A183,Kardex!$A$1:$K$1498,5,FALSE),"")</f>
        <v>Taller</v>
      </c>
      <c r="F183" s="21">
        <f>IFERROR(VLOOKUP(A183,Kardex!$A$1:$K$1498,6,FALSE),"")</f>
        <v>0</v>
      </c>
      <c r="G183" s="21">
        <f>IFERROR(VLOOKUP(A183,Kardex!$A$1:$K$1498,7,FALSE),"")</f>
        <v>0</v>
      </c>
      <c r="H183" s="21" t="str">
        <f>IFERROR(VLOOKUP(A183,Kardex!$A$1:$K$1498,8,FALSE),"")</f>
        <v>un</v>
      </c>
      <c r="I183" s="45">
        <f>IFERROR(VLOOKUP($A183,Kardex!$A$1:$L$1498,9,FALSE),"")</f>
        <v>4</v>
      </c>
      <c r="J183" s="45">
        <f>IFERROR(VLOOKUP($A183,Kardex!$A$1:$L$1498,10,FALSE),"")</f>
        <v>0</v>
      </c>
      <c r="K183" s="45">
        <f>IFERROR(VLOOKUP($A183,Kardex!$A$1:$L$1498,11,FALSE),"")</f>
        <v>0</v>
      </c>
      <c r="L183" s="45">
        <f>IFERROR(VLOOKUP($A183,Kardex!$A$1:$L$1498,12,FALSE),"")</f>
        <v>4</v>
      </c>
    </row>
    <row r="184" spans="1:12" ht="12.75" customHeight="1" x14ac:dyDescent="0.2">
      <c r="A184" s="18">
        <v>183</v>
      </c>
      <c r="B184" s="19" t="str">
        <f>IF(IFERROR(VLOOKUP(A184,Kardex!$A$1:$K$1498,2,FALSE),"")=0,"",IFERROR(VLOOKUP(A184,Kardex!$A$1:$K$1498,2,FALSE),""))</f>
        <v/>
      </c>
      <c r="C184" s="19" t="str">
        <f>IFERROR(VLOOKUP(A184,Kardex!$A$1:$K$1498,3,FALSE),"")</f>
        <v>General</v>
      </c>
      <c r="D184" s="20" t="str">
        <f>IFERROR(VLOOKUP(A184,Kardex!$A$1:$K$1498,4,FALSE),"")</f>
        <v xml:space="preserve">Banco de trabajo para aluminio </v>
      </c>
      <c r="E184" s="21" t="str">
        <f>IFERROR(VLOOKUP(A184,Kardex!$A$1:$K$1498,5,FALSE),"")</f>
        <v>Taller</v>
      </c>
      <c r="F184" s="21">
        <f>IFERROR(VLOOKUP(A184,Kardex!$A$1:$K$1498,6,FALSE),"")</f>
        <v>0</v>
      </c>
      <c r="G184" s="21">
        <f>IFERROR(VLOOKUP(A184,Kardex!$A$1:$K$1498,7,FALSE),"")</f>
        <v>0</v>
      </c>
      <c r="H184" s="21" t="str">
        <f>IFERROR(VLOOKUP(A184,Kardex!$A$1:$K$1498,8,FALSE),"")</f>
        <v>un</v>
      </c>
      <c r="I184" s="45">
        <f>IFERROR(VLOOKUP($A184,Kardex!$A$1:$L$1498,9,FALSE),"")</f>
        <v>0</v>
      </c>
      <c r="J184" s="45">
        <f>IFERROR(VLOOKUP($A184,Kardex!$A$1:$L$1498,10,FALSE),"")</f>
        <v>8</v>
      </c>
      <c r="K184" s="45">
        <f>IFERROR(VLOOKUP($A184,Kardex!$A$1:$L$1498,11,FALSE),"")</f>
        <v>0</v>
      </c>
      <c r="L184" s="45">
        <f>IFERROR(VLOOKUP($A184,Kardex!$A$1:$L$1498,12,FALSE),"")</f>
        <v>8</v>
      </c>
    </row>
    <row r="185" spans="1:12" ht="12.75" customHeight="1" x14ac:dyDescent="0.2">
      <c r="A185" s="18">
        <v>184</v>
      </c>
      <c r="B185" s="19" t="str">
        <f>IF(IFERROR(VLOOKUP(A185,Kardex!$A$1:$K$1498,2,FALSE),"")=0,"",IFERROR(VLOOKUP(A185,Kardex!$A$1:$K$1498,2,FALSE),""))</f>
        <v/>
      </c>
      <c r="C185" s="19" t="str">
        <f>IFERROR(VLOOKUP(A185,Kardex!$A$1:$K$1498,3,FALSE),"")</f>
        <v>General</v>
      </c>
      <c r="D185" s="20" t="str">
        <f>IFERROR(VLOOKUP(A185,Kardex!$A$1:$K$1498,4,FALSE),"")</f>
        <v>Soporte para aluminio</v>
      </c>
      <c r="E185" s="21" t="str">
        <f>IFERROR(VLOOKUP(A185,Kardex!$A$1:$K$1498,5,FALSE),"")</f>
        <v>Taller</v>
      </c>
      <c r="F185" s="21">
        <f>IFERROR(VLOOKUP(A185,Kardex!$A$1:$K$1498,6,FALSE),"")</f>
        <v>0</v>
      </c>
      <c r="G185" s="21">
        <f>IFERROR(VLOOKUP(A185,Kardex!$A$1:$K$1498,7,FALSE),"")</f>
        <v>0</v>
      </c>
      <c r="H185" s="21" t="str">
        <f>IFERROR(VLOOKUP(A185,Kardex!$A$1:$K$1498,8,FALSE),"")</f>
        <v>un</v>
      </c>
      <c r="I185" s="45">
        <f>IFERROR(VLOOKUP($A185,Kardex!$A$1:$L$1498,9,FALSE),"")</f>
        <v>3</v>
      </c>
      <c r="J185" s="45">
        <f>IFERROR(VLOOKUP($A185,Kardex!$A$1:$L$1498,10,FALSE),"")</f>
        <v>0</v>
      </c>
      <c r="K185" s="45">
        <f>IFERROR(VLOOKUP($A185,Kardex!$A$1:$L$1498,11,FALSE),"")</f>
        <v>0</v>
      </c>
      <c r="L185" s="45">
        <f>IFERROR(VLOOKUP($A185,Kardex!$A$1:$L$1498,12,FALSE),"")</f>
        <v>3</v>
      </c>
    </row>
    <row r="186" spans="1:12" ht="12.75" customHeight="1" x14ac:dyDescent="0.2">
      <c r="A186" s="18">
        <v>185</v>
      </c>
      <c r="B186" s="19" t="str">
        <f>IF(IFERROR(VLOOKUP(A186,Kardex!$A$1:$K$1498,2,FALSE),"")=0,"",IFERROR(VLOOKUP(A186,Kardex!$A$1:$K$1498,2,FALSE),""))</f>
        <v/>
      </c>
      <c r="C186" s="19" t="str">
        <f>IFERROR(VLOOKUP(A186,Kardex!$A$1:$K$1498,3,FALSE),"")</f>
        <v>General</v>
      </c>
      <c r="D186" s="20" t="str">
        <f>IFERROR(VLOOKUP(A186,Kardex!$A$1:$K$1498,4,FALSE),"")</f>
        <v>Planeadora</v>
      </c>
      <c r="E186" s="21" t="str">
        <f>IFERROR(VLOOKUP(A186,Kardex!$A$1:$K$1498,5,FALSE),"")</f>
        <v>Taller</v>
      </c>
      <c r="F186" s="21">
        <f>IFERROR(VLOOKUP(A186,Kardex!$A$1:$K$1498,6,FALSE),"")</f>
        <v>0</v>
      </c>
      <c r="G186" s="21">
        <f>IFERROR(VLOOKUP(A186,Kardex!$A$1:$K$1498,7,FALSE),"")</f>
        <v>0</v>
      </c>
      <c r="H186" s="21" t="str">
        <f>IFERROR(VLOOKUP(A186,Kardex!$A$1:$K$1498,8,FALSE),"")</f>
        <v>un</v>
      </c>
      <c r="I186" s="45">
        <f>IFERROR(VLOOKUP($A186,Kardex!$A$1:$L$1498,9,FALSE),"")</f>
        <v>0</v>
      </c>
      <c r="J186" s="45">
        <f>IFERROR(VLOOKUP($A186,Kardex!$A$1:$L$1498,10,FALSE),"")</f>
        <v>2</v>
      </c>
      <c r="K186" s="45">
        <f>IFERROR(VLOOKUP($A186,Kardex!$A$1:$L$1498,11,FALSE),"")</f>
        <v>0</v>
      </c>
      <c r="L186" s="45">
        <f>IFERROR(VLOOKUP($A186,Kardex!$A$1:$L$1498,12,FALSE),"")</f>
        <v>2</v>
      </c>
    </row>
    <row r="187" spans="1:12" ht="12.75" customHeight="1" x14ac:dyDescent="0.2">
      <c r="A187" s="18">
        <v>186</v>
      </c>
      <c r="B187" s="19" t="str">
        <f>IF(IFERROR(VLOOKUP(A187,Kardex!$A$1:$K$1498,2,FALSE),"")=0,"",IFERROR(VLOOKUP(A187,Kardex!$A$1:$K$1498,2,FALSE),""))</f>
        <v/>
      </c>
      <c r="C187" s="19" t="str">
        <f>IFERROR(VLOOKUP(A187,Kardex!$A$1:$K$1498,3,FALSE),"")</f>
        <v>General</v>
      </c>
      <c r="D187" s="20" t="str">
        <f>IFERROR(VLOOKUP(A187,Kardex!$A$1:$K$1498,4,FALSE),"")</f>
        <v>Sierras</v>
      </c>
      <c r="E187" s="21" t="str">
        <f>IFERROR(VLOOKUP(A187,Kardex!$A$1:$K$1498,5,FALSE),"")</f>
        <v>Taller</v>
      </c>
      <c r="F187" s="21">
        <f>IFERROR(VLOOKUP(A187,Kardex!$A$1:$K$1498,6,FALSE),"")</f>
        <v>0</v>
      </c>
      <c r="G187" s="21">
        <f>IFERROR(VLOOKUP(A187,Kardex!$A$1:$K$1498,7,FALSE),"")</f>
        <v>0</v>
      </c>
      <c r="H187" s="21" t="str">
        <f>IFERROR(VLOOKUP(A187,Kardex!$A$1:$K$1498,8,FALSE),"")</f>
        <v>un</v>
      </c>
      <c r="I187" s="45">
        <f>IFERROR(VLOOKUP($A187,Kardex!$A$1:$L$1498,9,FALSE),"")</f>
        <v>0</v>
      </c>
      <c r="J187" s="45">
        <f>IFERROR(VLOOKUP($A187,Kardex!$A$1:$L$1498,10,FALSE),"")</f>
        <v>11</v>
      </c>
      <c r="K187" s="45">
        <f>IFERROR(VLOOKUP($A187,Kardex!$A$1:$L$1498,11,FALSE),"")</f>
        <v>0</v>
      </c>
      <c r="L187" s="45">
        <f>IFERROR(VLOOKUP($A187,Kardex!$A$1:$L$1498,12,FALSE),"")</f>
        <v>11</v>
      </c>
    </row>
    <row r="188" spans="1:12" ht="12.75" customHeight="1" x14ac:dyDescent="0.2">
      <c r="A188" s="18">
        <v>187</v>
      </c>
      <c r="B188" s="19" t="str">
        <f>IF(IFERROR(VLOOKUP(A188,Kardex!$A$1:$K$1498,2,FALSE),"")=0,"",IFERROR(VLOOKUP(A188,Kardex!$A$1:$K$1498,2,FALSE),""))</f>
        <v/>
      </c>
      <c r="C188" s="19" t="str">
        <f>IFERROR(VLOOKUP(A188,Kardex!$A$1:$K$1498,3,FALSE),"")</f>
        <v>General</v>
      </c>
      <c r="D188" s="20" t="str">
        <f>IFERROR(VLOOKUP(A188,Kardex!$A$1:$K$1498,4,FALSE),"")</f>
        <v>Cepillo</v>
      </c>
      <c r="E188" s="21" t="str">
        <f>IFERROR(VLOOKUP(A188,Kardex!$A$1:$K$1498,5,FALSE),"")</f>
        <v>Taller</v>
      </c>
      <c r="F188" s="21">
        <f>IFERROR(VLOOKUP(A188,Kardex!$A$1:$K$1498,6,FALSE),"")</f>
        <v>0</v>
      </c>
      <c r="G188" s="21">
        <f>IFERROR(VLOOKUP(A188,Kardex!$A$1:$K$1498,7,FALSE),"")</f>
        <v>0</v>
      </c>
      <c r="H188" s="21" t="str">
        <f>IFERROR(VLOOKUP(A188,Kardex!$A$1:$K$1498,8,FALSE),"")</f>
        <v>un</v>
      </c>
      <c r="I188" s="45">
        <f>IFERROR(VLOOKUP($A188,Kardex!$A$1:$L$1498,9,FALSE),"")</f>
        <v>0</v>
      </c>
      <c r="J188" s="45">
        <f>IFERROR(VLOOKUP($A188,Kardex!$A$1:$L$1498,10,FALSE),"")</f>
        <v>2</v>
      </c>
      <c r="K188" s="45">
        <f>IFERROR(VLOOKUP($A188,Kardex!$A$1:$L$1498,11,FALSE),"")</f>
        <v>0</v>
      </c>
      <c r="L188" s="45">
        <f>IFERROR(VLOOKUP($A188,Kardex!$A$1:$L$1498,12,FALSE),"")</f>
        <v>2</v>
      </c>
    </row>
    <row r="189" spans="1:12" ht="12.75" customHeight="1" x14ac:dyDescent="0.2">
      <c r="A189" s="18">
        <v>188</v>
      </c>
      <c r="B189" s="19" t="str">
        <f>IF(IFERROR(VLOOKUP(A189,Kardex!$A$1:$K$1498,2,FALSE),"")=0,"",IFERROR(VLOOKUP(A189,Kardex!$A$1:$K$1498,2,FALSE),""))</f>
        <v/>
      </c>
      <c r="C189" s="19" t="str">
        <f>IFERROR(VLOOKUP(A189,Kardex!$A$1:$K$1498,3,FALSE),"")</f>
        <v>General</v>
      </c>
      <c r="D189" s="20" t="str">
        <f>IFERROR(VLOOKUP(A189,Kardex!$A$1:$K$1498,4,FALSE),"")</f>
        <v>Copiadora o fresadora de aluminio</v>
      </c>
      <c r="E189" s="21" t="str">
        <f>IFERROR(VLOOKUP(A189,Kardex!$A$1:$K$1498,5,FALSE),"")</f>
        <v>Taller</v>
      </c>
      <c r="F189" s="21">
        <f>IFERROR(VLOOKUP(A189,Kardex!$A$1:$K$1498,6,FALSE),"")</f>
        <v>0</v>
      </c>
      <c r="G189" s="21">
        <f>IFERROR(VLOOKUP(A189,Kardex!$A$1:$K$1498,7,FALSE),"")</f>
        <v>0</v>
      </c>
      <c r="H189" s="21" t="str">
        <f>IFERROR(VLOOKUP(A189,Kardex!$A$1:$K$1498,8,FALSE),"")</f>
        <v>un</v>
      </c>
      <c r="I189" s="45">
        <f>IFERROR(VLOOKUP($A189,Kardex!$A$1:$L$1498,9,FALSE),"")</f>
        <v>2</v>
      </c>
      <c r="J189" s="45">
        <f>IFERROR(VLOOKUP($A189,Kardex!$A$1:$L$1498,10,FALSE),"")</f>
        <v>0</v>
      </c>
      <c r="K189" s="45">
        <f>IFERROR(VLOOKUP($A189,Kardex!$A$1:$L$1498,11,FALSE),"")</f>
        <v>0</v>
      </c>
      <c r="L189" s="45">
        <f>IFERROR(VLOOKUP($A189,Kardex!$A$1:$L$1498,12,FALSE),"")</f>
        <v>2</v>
      </c>
    </row>
    <row r="190" spans="1:12" ht="12.75" customHeight="1" x14ac:dyDescent="0.2">
      <c r="A190" s="18">
        <v>189</v>
      </c>
      <c r="B190" s="19" t="str">
        <f>IF(IFERROR(VLOOKUP(A190,Kardex!$A$1:$K$1498,2,FALSE),"")=0,"",IFERROR(VLOOKUP(A190,Kardex!$A$1:$K$1498,2,FALSE),""))</f>
        <v/>
      </c>
      <c r="C190" s="19" t="str">
        <f>IFERROR(VLOOKUP(A190,Kardex!$A$1:$K$1498,3,FALSE),"")</f>
        <v>General</v>
      </c>
      <c r="D190" s="20" t="str">
        <f>IFERROR(VLOOKUP(A190,Kardex!$A$1:$K$1498,4,FALSE),"")</f>
        <v>Restesteadora</v>
      </c>
      <c r="E190" s="21" t="str">
        <f>IFERROR(VLOOKUP(A190,Kardex!$A$1:$K$1498,5,FALSE),"")</f>
        <v>Taller</v>
      </c>
      <c r="F190" s="21">
        <f>IFERROR(VLOOKUP(A190,Kardex!$A$1:$K$1498,6,FALSE),"")</f>
        <v>0</v>
      </c>
      <c r="G190" s="21">
        <f>IFERROR(VLOOKUP(A190,Kardex!$A$1:$K$1498,7,FALSE),"")</f>
        <v>0</v>
      </c>
      <c r="H190" s="21" t="str">
        <f>IFERROR(VLOOKUP(A190,Kardex!$A$1:$K$1498,8,FALSE),"")</f>
        <v>un</v>
      </c>
      <c r="I190" s="45">
        <f>IFERROR(VLOOKUP($A190,Kardex!$A$1:$L$1498,9,FALSE),"")</f>
        <v>2</v>
      </c>
      <c r="J190" s="45">
        <f>IFERROR(VLOOKUP($A190,Kardex!$A$1:$L$1498,10,FALSE),"")</f>
        <v>0</v>
      </c>
      <c r="K190" s="45">
        <f>IFERROR(VLOOKUP($A190,Kardex!$A$1:$L$1498,11,FALSE),"")</f>
        <v>0</v>
      </c>
      <c r="L190" s="45">
        <f>IFERROR(VLOOKUP($A190,Kardex!$A$1:$L$1498,12,FALSE),"")</f>
        <v>2</v>
      </c>
    </row>
    <row r="191" spans="1:12" ht="12.75" customHeight="1" x14ac:dyDescent="0.2">
      <c r="A191" s="18">
        <v>190</v>
      </c>
      <c r="B191" s="19" t="str">
        <f>IF(IFERROR(VLOOKUP(A191,Kardex!$A$1:$K$1498,2,FALSE),"")=0,"",IFERROR(VLOOKUP(A191,Kardex!$A$1:$K$1498,2,FALSE),""))</f>
        <v/>
      </c>
      <c r="C191" s="19" t="str">
        <f>IFERROR(VLOOKUP(A191,Kardex!$A$1:$K$1498,3,FALSE),"")</f>
        <v>General</v>
      </c>
      <c r="D191" s="20" t="str">
        <f>IFERROR(VLOOKUP(A191,Kardex!$A$1:$K$1498,4,FALSE),"")</f>
        <v>Taladro multiple</v>
      </c>
      <c r="E191" s="21" t="str">
        <f>IFERROR(VLOOKUP(A191,Kardex!$A$1:$K$1498,5,FALSE),"")</f>
        <v>Taller</v>
      </c>
      <c r="F191" s="21">
        <f>IFERROR(VLOOKUP(A191,Kardex!$A$1:$K$1498,6,FALSE),"")</f>
        <v>0</v>
      </c>
      <c r="G191" s="21">
        <f>IFERROR(VLOOKUP(A191,Kardex!$A$1:$K$1498,7,FALSE),"")</f>
        <v>0</v>
      </c>
      <c r="H191" s="21" t="str">
        <f>IFERROR(VLOOKUP(A191,Kardex!$A$1:$K$1498,8,FALSE),"")</f>
        <v>un</v>
      </c>
      <c r="I191" s="45">
        <f>IFERROR(VLOOKUP($A191,Kardex!$A$1:$L$1498,9,FALSE),"")</f>
        <v>1</v>
      </c>
      <c r="J191" s="45">
        <f>IFERROR(VLOOKUP($A191,Kardex!$A$1:$L$1498,10,FALSE),"")</f>
        <v>0</v>
      </c>
      <c r="K191" s="45">
        <f>IFERROR(VLOOKUP($A191,Kardex!$A$1:$L$1498,11,FALSE),"")</f>
        <v>0</v>
      </c>
      <c r="L191" s="45">
        <f>IFERROR(VLOOKUP($A191,Kardex!$A$1:$L$1498,12,FALSE),"")</f>
        <v>1</v>
      </c>
    </row>
    <row r="192" spans="1:12" ht="12.75" customHeight="1" x14ac:dyDescent="0.2">
      <c r="A192" s="18">
        <v>191</v>
      </c>
      <c r="B192" s="19" t="str">
        <f>IF(IFERROR(VLOOKUP(A192,Kardex!$A$1:$K$1498,2,FALSE),"")=0,"",IFERROR(VLOOKUP(A192,Kardex!$A$1:$K$1498,2,FALSE),""))</f>
        <v/>
      </c>
      <c r="C192" s="19" t="str">
        <f>IFERROR(VLOOKUP(A192,Kardex!$A$1:$K$1498,3,FALSE),"")</f>
        <v>General</v>
      </c>
      <c r="D192" s="20" t="str">
        <f>IFERROR(VLOOKUP(A192,Kardex!$A$1:$K$1498,4,FALSE),"")</f>
        <v>Esmeril</v>
      </c>
      <c r="E192" s="21" t="str">
        <f>IFERROR(VLOOKUP(A192,Kardex!$A$1:$K$1498,5,FALSE),"")</f>
        <v>Taller</v>
      </c>
      <c r="F192" s="21">
        <f>IFERROR(VLOOKUP(A192,Kardex!$A$1:$K$1498,6,FALSE),"")</f>
        <v>0</v>
      </c>
      <c r="G192" s="21">
        <f>IFERROR(VLOOKUP(A192,Kardex!$A$1:$K$1498,7,FALSE),"")</f>
        <v>0</v>
      </c>
      <c r="H192" s="21" t="str">
        <f>IFERROR(VLOOKUP(A192,Kardex!$A$1:$K$1498,8,FALSE),"")</f>
        <v>un</v>
      </c>
      <c r="I192" s="45">
        <f>IFERROR(VLOOKUP($A192,Kardex!$A$1:$L$1498,9,FALSE),"")</f>
        <v>2</v>
      </c>
      <c r="J192" s="45">
        <f>IFERROR(VLOOKUP($A192,Kardex!$A$1:$L$1498,10,FALSE),"")</f>
        <v>0</v>
      </c>
      <c r="K192" s="45">
        <f>IFERROR(VLOOKUP($A192,Kardex!$A$1:$L$1498,11,FALSE),"")</f>
        <v>0</v>
      </c>
      <c r="L192" s="45">
        <f>IFERROR(VLOOKUP($A192,Kardex!$A$1:$L$1498,12,FALSE),"")</f>
        <v>2</v>
      </c>
    </row>
    <row r="193" spans="1:12" ht="12.75" customHeight="1" x14ac:dyDescent="0.2">
      <c r="A193" s="18">
        <v>192</v>
      </c>
      <c r="B193" s="19" t="str">
        <f>IF(IFERROR(VLOOKUP(A193,Kardex!$A$1:$K$1498,2,FALSE),"")=0,"",IFERROR(VLOOKUP(A193,Kardex!$A$1:$K$1498,2,FALSE),""))</f>
        <v/>
      </c>
      <c r="C193" s="19" t="str">
        <f>IFERROR(VLOOKUP(A193,Kardex!$A$1:$K$1498,3,FALSE),"")</f>
        <v>General</v>
      </c>
      <c r="D193" s="20" t="str">
        <f>IFERROR(VLOOKUP(A193,Kardex!$A$1:$K$1498,4,FALSE),"")</f>
        <v>Estratores</v>
      </c>
      <c r="E193" s="21" t="str">
        <f>IFERROR(VLOOKUP(A193,Kardex!$A$1:$K$1498,5,FALSE),"")</f>
        <v>Taller</v>
      </c>
      <c r="F193" s="21">
        <f>IFERROR(VLOOKUP(A193,Kardex!$A$1:$K$1498,6,FALSE),"")</f>
        <v>0</v>
      </c>
      <c r="G193" s="21">
        <f>IFERROR(VLOOKUP(A193,Kardex!$A$1:$K$1498,7,FALSE),"")</f>
        <v>0</v>
      </c>
      <c r="H193" s="21" t="str">
        <f>IFERROR(VLOOKUP(A193,Kardex!$A$1:$K$1498,8,FALSE),"")</f>
        <v>un</v>
      </c>
      <c r="I193" s="45">
        <f>IFERROR(VLOOKUP($A193,Kardex!$A$1:$L$1498,9,FALSE),"")</f>
        <v>3</v>
      </c>
      <c r="J193" s="45">
        <f>IFERROR(VLOOKUP($A193,Kardex!$A$1:$L$1498,10,FALSE),"")</f>
        <v>0</v>
      </c>
      <c r="K193" s="45">
        <f>IFERROR(VLOOKUP($A193,Kardex!$A$1:$L$1498,11,FALSE),"")</f>
        <v>0</v>
      </c>
      <c r="L193" s="45">
        <f>IFERROR(VLOOKUP($A193,Kardex!$A$1:$L$1498,12,FALSE),"")</f>
        <v>3</v>
      </c>
    </row>
    <row r="194" spans="1:12" ht="12.75" customHeight="1" x14ac:dyDescent="0.2">
      <c r="A194" s="18">
        <v>193</v>
      </c>
      <c r="B194" s="19" t="str">
        <f>IF(IFERROR(VLOOKUP(A194,Kardex!$A$1:$K$1498,2,FALSE),"")=0,"",IFERROR(VLOOKUP(A194,Kardex!$A$1:$K$1498,2,FALSE),""))</f>
        <v/>
      </c>
      <c r="C194" s="19" t="str">
        <f>IFERROR(VLOOKUP(A194,Kardex!$A$1:$K$1498,3,FALSE),"")</f>
        <v>General</v>
      </c>
      <c r="D194" s="20" t="str">
        <f>IFERROR(VLOOKUP(A194,Kardex!$A$1:$K$1498,4,FALSE),"")</f>
        <v>Enchapadora</v>
      </c>
      <c r="E194" s="21" t="str">
        <f>IFERROR(VLOOKUP(A194,Kardex!$A$1:$K$1498,5,FALSE),"")</f>
        <v>Taller</v>
      </c>
      <c r="F194" s="21">
        <f>IFERROR(VLOOKUP(A194,Kardex!$A$1:$K$1498,6,FALSE),"")</f>
        <v>0</v>
      </c>
      <c r="G194" s="21">
        <f>IFERROR(VLOOKUP(A194,Kardex!$A$1:$K$1498,7,FALSE),"")</f>
        <v>0</v>
      </c>
      <c r="H194" s="21" t="str">
        <f>IFERROR(VLOOKUP(A194,Kardex!$A$1:$K$1498,8,FALSE),"")</f>
        <v>un</v>
      </c>
      <c r="I194" s="45">
        <f>IFERROR(VLOOKUP($A194,Kardex!$A$1:$L$1498,9,FALSE),"")</f>
        <v>1</v>
      </c>
      <c r="J194" s="45">
        <f>IFERROR(VLOOKUP($A194,Kardex!$A$1:$L$1498,10,FALSE),"")</f>
        <v>0</v>
      </c>
      <c r="K194" s="45">
        <f>IFERROR(VLOOKUP($A194,Kardex!$A$1:$L$1498,11,FALSE),"")</f>
        <v>0</v>
      </c>
      <c r="L194" s="45">
        <f>IFERROR(VLOOKUP($A194,Kardex!$A$1:$L$1498,12,FALSE),"")</f>
        <v>1</v>
      </c>
    </row>
    <row r="195" spans="1:12" ht="12.75" customHeight="1" x14ac:dyDescent="0.2">
      <c r="A195" s="18">
        <v>194</v>
      </c>
      <c r="B195" s="19" t="str">
        <f>IF(IFERROR(VLOOKUP(A195,Kardex!$A$1:$K$1498,2,FALSE),"")=0,"",IFERROR(VLOOKUP(A195,Kardex!$A$1:$K$1498,2,FALSE),""))</f>
        <v/>
      </c>
      <c r="C195" s="19" t="str">
        <f>IFERROR(VLOOKUP(A195,Kardex!$A$1:$K$1498,3,FALSE),"")</f>
        <v>General</v>
      </c>
      <c r="D195" s="20" t="str">
        <f>IFERROR(VLOOKUP(A195,Kardex!$A$1:$K$1498,4,FALSE),"")</f>
        <v>Trompo</v>
      </c>
      <c r="E195" s="21" t="str">
        <f>IFERROR(VLOOKUP(A195,Kardex!$A$1:$K$1498,5,FALSE),"")</f>
        <v>Taller</v>
      </c>
      <c r="F195" s="21">
        <f>IFERROR(VLOOKUP(A195,Kardex!$A$1:$K$1498,6,FALSE),"")</f>
        <v>0</v>
      </c>
      <c r="G195" s="21">
        <f>IFERROR(VLOOKUP(A195,Kardex!$A$1:$K$1498,7,FALSE),"")</f>
        <v>0</v>
      </c>
      <c r="H195" s="21" t="str">
        <f>IFERROR(VLOOKUP(A195,Kardex!$A$1:$K$1498,8,FALSE),"")</f>
        <v>un</v>
      </c>
      <c r="I195" s="45">
        <f>IFERROR(VLOOKUP($A195,Kardex!$A$1:$L$1498,9,FALSE),"")</f>
        <v>1</v>
      </c>
      <c r="J195" s="45">
        <f>IFERROR(VLOOKUP($A195,Kardex!$A$1:$L$1498,10,FALSE),"")</f>
        <v>0</v>
      </c>
      <c r="K195" s="45">
        <f>IFERROR(VLOOKUP($A195,Kardex!$A$1:$L$1498,11,FALSE),"")</f>
        <v>0</v>
      </c>
      <c r="L195" s="45">
        <f>IFERROR(VLOOKUP($A195,Kardex!$A$1:$L$1498,12,FALSE),"")</f>
        <v>1</v>
      </c>
    </row>
    <row r="196" spans="1:12" ht="12.75" customHeight="1" x14ac:dyDescent="0.2">
      <c r="A196" s="18">
        <v>195</v>
      </c>
      <c r="B196" s="19" t="str">
        <f>IF(IFERROR(VLOOKUP(A196,Kardex!$A$1:$K$1498,2,FALSE),"")=0,"",IFERROR(VLOOKUP(A196,Kardex!$A$1:$K$1498,2,FALSE),""))</f>
        <v/>
      </c>
      <c r="C196" s="19" t="str">
        <f>IFERROR(VLOOKUP(A196,Kardex!$A$1:$K$1498,3,FALSE),"")</f>
        <v>General</v>
      </c>
      <c r="D196" s="20" t="str">
        <f>IFERROR(VLOOKUP(A196,Kardex!$A$1:$K$1498,4,FALSE),"")</f>
        <v>Lijadora</v>
      </c>
      <c r="E196" s="21" t="str">
        <f>IFERROR(VLOOKUP(A196,Kardex!$A$1:$K$1498,5,FALSE),"")</f>
        <v>Taller</v>
      </c>
      <c r="F196" s="21">
        <f>IFERROR(VLOOKUP(A196,Kardex!$A$1:$K$1498,6,FALSE),"")</f>
        <v>0</v>
      </c>
      <c r="G196" s="21">
        <f>IFERROR(VLOOKUP(A196,Kardex!$A$1:$K$1498,7,FALSE),"")</f>
        <v>0</v>
      </c>
      <c r="H196" s="21" t="str">
        <f>IFERROR(VLOOKUP(A196,Kardex!$A$1:$K$1498,8,FALSE),"")</f>
        <v>un</v>
      </c>
      <c r="I196" s="45">
        <f>IFERROR(VLOOKUP($A196,Kardex!$A$1:$L$1498,9,FALSE),"")</f>
        <v>1</v>
      </c>
      <c r="J196" s="45">
        <f>IFERROR(VLOOKUP($A196,Kardex!$A$1:$L$1498,10,FALSE),"")</f>
        <v>0</v>
      </c>
      <c r="K196" s="45">
        <f>IFERROR(VLOOKUP($A196,Kardex!$A$1:$L$1498,11,FALSE),"")</f>
        <v>0</v>
      </c>
      <c r="L196" s="45">
        <f>IFERROR(VLOOKUP($A196,Kardex!$A$1:$L$1498,12,FALSE),"")</f>
        <v>1</v>
      </c>
    </row>
    <row r="197" spans="1:12" ht="12.75" customHeight="1" x14ac:dyDescent="0.2">
      <c r="A197" s="18">
        <v>196</v>
      </c>
      <c r="B197" s="19" t="str">
        <f>IF(IFERROR(VLOOKUP(A197,Kardex!$A$1:$K$1498,2,FALSE),"")=0,"",IFERROR(VLOOKUP(A197,Kardex!$A$1:$K$1498,2,FALSE),""))</f>
        <v/>
      </c>
      <c r="C197" s="19" t="str">
        <f>IFERROR(VLOOKUP(A197,Kardex!$A$1:$K$1498,3,FALSE),"")</f>
        <v>General</v>
      </c>
      <c r="D197" s="20" t="str">
        <f>IFERROR(VLOOKUP(A197,Kardex!$A$1:$K$1498,4,FALSE),"")</f>
        <v>Afiladoras de madera</v>
      </c>
      <c r="E197" s="21" t="str">
        <f>IFERROR(VLOOKUP(A197,Kardex!$A$1:$K$1498,5,FALSE),"")</f>
        <v>Taller</v>
      </c>
      <c r="F197" s="21">
        <f>IFERROR(VLOOKUP(A197,Kardex!$A$1:$K$1498,6,FALSE),"")</f>
        <v>0</v>
      </c>
      <c r="G197" s="21">
        <f>IFERROR(VLOOKUP(A197,Kardex!$A$1:$K$1498,7,FALSE),"")</f>
        <v>0</v>
      </c>
      <c r="H197" s="21" t="str">
        <f>IFERROR(VLOOKUP(A197,Kardex!$A$1:$K$1498,8,FALSE),"")</f>
        <v>un</v>
      </c>
      <c r="I197" s="45">
        <f>IFERROR(VLOOKUP($A197,Kardex!$A$1:$L$1498,9,FALSE),"")</f>
        <v>2</v>
      </c>
      <c r="J197" s="45">
        <f>IFERROR(VLOOKUP($A197,Kardex!$A$1:$L$1498,10,FALSE),"")</f>
        <v>0</v>
      </c>
      <c r="K197" s="45">
        <f>IFERROR(VLOOKUP($A197,Kardex!$A$1:$L$1498,11,FALSE),"")</f>
        <v>0</v>
      </c>
      <c r="L197" s="45">
        <f>IFERROR(VLOOKUP($A197,Kardex!$A$1:$L$1498,12,FALSE),"")</f>
        <v>2</v>
      </c>
    </row>
    <row r="198" spans="1:12" ht="12.75" customHeight="1" x14ac:dyDescent="0.2">
      <c r="A198" s="18">
        <v>197</v>
      </c>
      <c r="B198" s="19" t="str">
        <f>IF(IFERROR(VLOOKUP(A198,Kardex!$A$1:$K$1498,2,FALSE),"")=0,"",IFERROR(VLOOKUP(A198,Kardex!$A$1:$K$1498,2,FALSE),""))</f>
        <v/>
      </c>
      <c r="C198" s="19" t="str">
        <f>IFERROR(VLOOKUP(A198,Kardex!$A$1:$K$1498,3,FALSE),"")</f>
        <v>General</v>
      </c>
      <c r="D198" s="20" t="str">
        <f>IFERROR(VLOOKUP(A198,Kardex!$A$1:$K$1498,4,FALSE),"")</f>
        <v>Compresor</v>
      </c>
      <c r="E198" s="21" t="str">
        <f>IFERROR(VLOOKUP(A198,Kardex!$A$1:$K$1498,5,FALSE),"")</f>
        <v>Taller</v>
      </c>
      <c r="F198" s="21">
        <f>IFERROR(VLOOKUP(A198,Kardex!$A$1:$K$1498,6,FALSE),"")</f>
        <v>0</v>
      </c>
      <c r="G198" s="21">
        <f>IFERROR(VLOOKUP(A198,Kardex!$A$1:$K$1498,7,FALSE),"")</f>
        <v>0</v>
      </c>
      <c r="H198" s="21" t="str">
        <f>IFERROR(VLOOKUP(A198,Kardex!$A$1:$K$1498,8,FALSE),"")</f>
        <v>un</v>
      </c>
      <c r="I198" s="45">
        <f>IFERROR(VLOOKUP($A198,Kardex!$A$1:$L$1498,9,FALSE),"")</f>
        <v>0</v>
      </c>
      <c r="J198" s="45">
        <f>IFERROR(VLOOKUP($A198,Kardex!$A$1:$L$1498,10,FALSE),"")</f>
        <v>2</v>
      </c>
      <c r="K198" s="45">
        <f>IFERROR(VLOOKUP($A198,Kardex!$A$1:$L$1498,11,FALSE),"")</f>
        <v>0</v>
      </c>
      <c r="L198" s="45">
        <f>IFERROR(VLOOKUP($A198,Kardex!$A$1:$L$1498,12,FALSE),"")</f>
        <v>2</v>
      </c>
    </row>
    <row r="199" spans="1:12" ht="12.75" customHeight="1" x14ac:dyDescent="0.2">
      <c r="A199" s="18">
        <v>198</v>
      </c>
      <c r="B199" s="19" t="str">
        <f>IF(IFERROR(VLOOKUP(A199,Kardex!$A$1:$K$1498,2,FALSE),"")=0,"",IFERROR(VLOOKUP(A199,Kardex!$A$1:$K$1498,2,FALSE),""))</f>
        <v/>
      </c>
      <c r="C199" s="19" t="str">
        <f>IFERROR(VLOOKUP(A199,Kardex!$A$1:$K$1498,3,FALSE),"")</f>
        <v>General</v>
      </c>
      <c r="D199" s="20" t="str">
        <f>IFERROR(VLOOKUP(A199,Kardex!$A$1:$K$1498,4,FALSE),"")</f>
        <v>Troqueles</v>
      </c>
      <c r="E199" s="21" t="str">
        <f>IFERROR(VLOOKUP(A199,Kardex!$A$1:$K$1498,5,FALSE),"")</f>
        <v>Taller</v>
      </c>
      <c r="F199" s="21">
        <f>IFERROR(VLOOKUP(A199,Kardex!$A$1:$K$1498,6,FALSE),"")</f>
        <v>0</v>
      </c>
      <c r="G199" s="21">
        <f>IFERROR(VLOOKUP(A199,Kardex!$A$1:$K$1498,7,FALSE),"")</f>
        <v>0</v>
      </c>
      <c r="H199" s="21" t="str">
        <f>IFERROR(VLOOKUP(A199,Kardex!$A$1:$K$1498,8,FALSE),"")</f>
        <v>un</v>
      </c>
      <c r="I199" s="45">
        <f>IFERROR(VLOOKUP($A199,Kardex!$A$1:$L$1498,9,FALSE),"")</f>
        <v>0</v>
      </c>
      <c r="J199" s="45">
        <f>IFERROR(VLOOKUP($A199,Kardex!$A$1:$L$1498,10,FALSE),"")</f>
        <v>3</v>
      </c>
      <c r="K199" s="45">
        <f>IFERROR(VLOOKUP($A199,Kardex!$A$1:$L$1498,11,FALSE),"")</f>
        <v>0</v>
      </c>
      <c r="L199" s="45">
        <f>IFERROR(VLOOKUP($A199,Kardex!$A$1:$L$1498,12,FALSE),"")</f>
        <v>3</v>
      </c>
    </row>
    <row r="200" spans="1:12" ht="12.75" customHeight="1" x14ac:dyDescent="0.2">
      <c r="A200" s="18">
        <v>199</v>
      </c>
      <c r="B200" s="19" t="str">
        <f>IF(IFERROR(VLOOKUP(A200,Kardex!$A$1:$K$1498,2,FALSE),"")=0,"",IFERROR(VLOOKUP(A200,Kardex!$A$1:$K$1498,2,FALSE),""))</f>
        <v/>
      </c>
      <c r="C200" s="19" t="str">
        <f>IFERROR(VLOOKUP(A200,Kardex!$A$1:$K$1498,3,FALSE),"")</f>
        <v>General</v>
      </c>
      <c r="D200" s="20" t="str">
        <f>IFERROR(VLOOKUP(A200,Kardex!$A$1:$K$1498,4,FALSE),"")</f>
        <v>Lanzas llamas</v>
      </c>
      <c r="E200" s="21" t="str">
        <f>IFERROR(VLOOKUP(A200,Kardex!$A$1:$K$1498,5,FALSE),"")</f>
        <v>Taller</v>
      </c>
      <c r="F200" s="21">
        <f>IFERROR(VLOOKUP(A200,Kardex!$A$1:$K$1498,6,FALSE),"")</f>
        <v>0</v>
      </c>
      <c r="G200" s="21">
        <f>IFERROR(VLOOKUP(A200,Kardex!$A$1:$K$1498,7,FALSE),"")</f>
        <v>0</v>
      </c>
      <c r="H200" s="21" t="str">
        <f>IFERROR(VLOOKUP(A200,Kardex!$A$1:$K$1498,8,FALSE),"")</f>
        <v>un</v>
      </c>
      <c r="I200" s="45">
        <f>IFERROR(VLOOKUP($A200,Kardex!$A$1:$L$1498,9,FALSE),"")</f>
        <v>1</v>
      </c>
      <c r="J200" s="45">
        <f>IFERROR(VLOOKUP($A200,Kardex!$A$1:$L$1498,10,FALSE),"")</f>
        <v>0</v>
      </c>
      <c r="K200" s="45">
        <f>IFERROR(VLOOKUP($A200,Kardex!$A$1:$L$1498,11,FALSE),"")</f>
        <v>0</v>
      </c>
      <c r="L200" s="45">
        <f>IFERROR(VLOOKUP($A200,Kardex!$A$1:$L$1498,12,FALSE),"")</f>
        <v>1</v>
      </c>
    </row>
    <row r="201" spans="1:12" ht="12.75" customHeight="1" x14ac:dyDescent="0.2">
      <c r="A201" s="18">
        <v>200</v>
      </c>
      <c r="B201" s="19" t="str">
        <f>IF(IFERROR(VLOOKUP(A201,Kardex!$A$1:$K$1498,2,FALSE),"")=0,"",IFERROR(VLOOKUP(A201,Kardex!$A$1:$K$1498,2,FALSE),""))</f>
        <v/>
      </c>
      <c r="C201" s="19" t="str">
        <f>IFERROR(VLOOKUP(A201,Kardex!$A$1:$K$1498,3,FALSE),"")</f>
        <v>General</v>
      </c>
      <c r="D201" s="20" t="str">
        <f>IFERROR(VLOOKUP(A201,Kardex!$A$1:$K$1498,4,FALSE),"")</f>
        <v>Grapadora de clavos</v>
      </c>
      <c r="E201" s="21" t="str">
        <f>IFERROR(VLOOKUP(A201,Kardex!$A$1:$K$1498,5,FALSE),"")</f>
        <v>Gabinete 1</v>
      </c>
      <c r="F201" s="21">
        <f>IFERROR(VLOOKUP(A201,Kardex!$A$1:$K$1498,6,FALSE),"")</f>
        <v>0</v>
      </c>
      <c r="G201" s="21">
        <f>IFERROR(VLOOKUP(A201,Kardex!$A$1:$K$1498,7,FALSE),"")</f>
        <v>0</v>
      </c>
      <c r="H201" s="21" t="str">
        <f>IFERROR(VLOOKUP(A201,Kardex!$A$1:$K$1498,8,FALSE),"")</f>
        <v>un</v>
      </c>
      <c r="I201" s="45">
        <f>IFERROR(VLOOKUP($A201,Kardex!$A$1:$L$1498,9,FALSE),"")</f>
        <v>2</v>
      </c>
      <c r="J201" s="45">
        <f>IFERROR(VLOOKUP($A201,Kardex!$A$1:$L$1498,10,FALSE),"")</f>
        <v>0</v>
      </c>
      <c r="K201" s="45">
        <f>IFERROR(VLOOKUP($A201,Kardex!$A$1:$L$1498,11,FALSE),"")</f>
        <v>0</v>
      </c>
      <c r="L201" s="45">
        <f>IFERROR(VLOOKUP($A201,Kardex!$A$1:$L$1498,12,FALSE),"")</f>
        <v>2</v>
      </c>
    </row>
    <row r="202" spans="1:12" ht="12.75" customHeight="1" x14ac:dyDescent="0.2">
      <c r="A202" s="18">
        <v>201</v>
      </c>
      <c r="B202" s="19" t="str">
        <f>IF(IFERROR(VLOOKUP(A202,Kardex!$A$1:$K$1498,2,FALSE),"")=0,"",IFERROR(VLOOKUP(A202,Kardex!$A$1:$K$1498,2,FALSE),""))</f>
        <v/>
      </c>
      <c r="C202" s="19" t="str">
        <f>IFERROR(VLOOKUP(A202,Kardex!$A$1:$K$1498,3,FALSE),"")</f>
        <v>General</v>
      </c>
      <c r="D202" s="20" t="str">
        <f>IFERROR(VLOOKUP(A202,Kardex!$A$1:$K$1498,4,FALSE),"")</f>
        <v>Graduador</v>
      </c>
      <c r="E202" s="21" t="str">
        <f>IFERROR(VLOOKUP(A202,Kardex!$A$1:$K$1498,5,FALSE),"")</f>
        <v>Gabinete 1</v>
      </c>
      <c r="F202" s="21">
        <f>IFERROR(VLOOKUP(A202,Kardex!$A$1:$K$1498,6,FALSE),"")</f>
        <v>0</v>
      </c>
      <c r="G202" s="21">
        <f>IFERROR(VLOOKUP(A202,Kardex!$A$1:$K$1498,7,FALSE),"")</f>
        <v>0</v>
      </c>
      <c r="H202" s="21" t="str">
        <f>IFERROR(VLOOKUP(A202,Kardex!$A$1:$K$1498,8,FALSE),"")</f>
        <v>un</v>
      </c>
      <c r="I202" s="45">
        <f>IFERROR(VLOOKUP($A202,Kardex!$A$1:$L$1498,9,FALSE),"")</f>
        <v>2</v>
      </c>
      <c r="J202" s="45">
        <f>IFERROR(VLOOKUP($A202,Kardex!$A$1:$L$1498,10,FALSE),"")</f>
        <v>0</v>
      </c>
      <c r="K202" s="45">
        <f>IFERROR(VLOOKUP($A202,Kardex!$A$1:$L$1498,11,FALSE),"")</f>
        <v>0</v>
      </c>
      <c r="L202" s="45">
        <f>IFERROR(VLOOKUP($A202,Kardex!$A$1:$L$1498,12,FALSE),"")</f>
        <v>2</v>
      </c>
    </row>
    <row r="203" spans="1:12" ht="12.75" customHeight="1" x14ac:dyDescent="0.2">
      <c r="A203" s="18">
        <v>202</v>
      </c>
      <c r="B203" s="19" t="str">
        <f>IF(IFERROR(VLOOKUP(A203,Kardex!$A$1:$K$1498,2,FALSE),"")=0,"",IFERROR(VLOOKUP(A203,Kardex!$A$1:$K$1498,2,FALSE),""))</f>
        <v/>
      </c>
      <c r="C203" s="19" t="str">
        <f>IFERROR(VLOOKUP(A203,Kardex!$A$1:$K$1498,3,FALSE),"")</f>
        <v>General</v>
      </c>
      <c r="D203" s="20" t="str">
        <f>IFERROR(VLOOKUP(A203,Kardex!$A$1:$K$1498,4,FALSE),"")</f>
        <v>Llave de tubo</v>
      </c>
      <c r="E203" s="21" t="str">
        <f>IFERROR(VLOOKUP(A203,Kardex!$A$1:$K$1498,5,FALSE),"")</f>
        <v>Gabinete 1</v>
      </c>
      <c r="F203" s="21">
        <f>IFERROR(VLOOKUP(A203,Kardex!$A$1:$K$1498,6,FALSE),"")</f>
        <v>0</v>
      </c>
      <c r="G203" s="21">
        <f>IFERROR(VLOOKUP(A203,Kardex!$A$1:$K$1498,7,FALSE),"")</f>
        <v>0</v>
      </c>
      <c r="H203" s="21" t="str">
        <f>IFERROR(VLOOKUP(A203,Kardex!$A$1:$K$1498,8,FALSE),"")</f>
        <v>un</v>
      </c>
      <c r="I203" s="45">
        <f>IFERROR(VLOOKUP($A203,Kardex!$A$1:$L$1498,9,FALSE),"")</f>
        <v>1</v>
      </c>
      <c r="J203" s="45">
        <f>IFERROR(VLOOKUP($A203,Kardex!$A$1:$L$1498,10,FALSE),"")</f>
        <v>0</v>
      </c>
      <c r="K203" s="45">
        <f>IFERROR(VLOOKUP($A203,Kardex!$A$1:$L$1498,11,FALSE),"")</f>
        <v>0</v>
      </c>
      <c r="L203" s="45">
        <f>IFERROR(VLOOKUP($A203,Kardex!$A$1:$L$1498,12,FALSE),"")</f>
        <v>1</v>
      </c>
    </row>
    <row r="204" spans="1:12" ht="12.75" customHeight="1" x14ac:dyDescent="0.2">
      <c r="A204" s="18">
        <v>203</v>
      </c>
      <c r="B204" s="19" t="str">
        <f>IF(IFERROR(VLOOKUP(A204,Kardex!$A$1:$K$1498,2,FALSE),"")=0,"",IFERROR(VLOOKUP(A204,Kardex!$A$1:$K$1498,2,FALSE),""))</f>
        <v/>
      </c>
      <c r="C204" s="19" t="str">
        <f>IFERROR(VLOOKUP(A204,Kardex!$A$1:$K$1498,3,FALSE),"")</f>
        <v>General</v>
      </c>
      <c r="D204" s="20" t="str">
        <f>IFERROR(VLOOKUP(A204,Kardex!$A$1:$K$1498,4,FALSE),"")</f>
        <v>Falsa escuadras</v>
      </c>
      <c r="E204" s="21" t="str">
        <f>IFERROR(VLOOKUP(A204,Kardex!$A$1:$K$1498,5,FALSE),"")</f>
        <v>Gabinete 1</v>
      </c>
      <c r="F204" s="21">
        <f>IFERROR(VLOOKUP(A204,Kardex!$A$1:$K$1498,6,FALSE),"")</f>
        <v>0</v>
      </c>
      <c r="G204" s="21">
        <f>IFERROR(VLOOKUP(A204,Kardex!$A$1:$K$1498,7,FALSE),"")</f>
        <v>0</v>
      </c>
      <c r="H204" s="21" t="str">
        <f>IFERROR(VLOOKUP(A204,Kardex!$A$1:$K$1498,8,FALSE),"")</f>
        <v>un</v>
      </c>
      <c r="I204" s="45">
        <f>IFERROR(VLOOKUP($A204,Kardex!$A$1:$L$1498,9,FALSE),"")</f>
        <v>1</v>
      </c>
      <c r="J204" s="45">
        <f>IFERROR(VLOOKUP($A204,Kardex!$A$1:$L$1498,10,FALSE),"")</f>
        <v>0</v>
      </c>
      <c r="K204" s="45">
        <f>IFERROR(VLOOKUP($A204,Kardex!$A$1:$L$1498,11,FALSE),"")</f>
        <v>0</v>
      </c>
      <c r="L204" s="45">
        <f>IFERROR(VLOOKUP($A204,Kardex!$A$1:$L$1498,12,FALSE),"")</f>
        <v>1</v>
      </c>
    </row>
    <row r="205" spans="1:12" ht="12.75" customHeight="1" x14ac:dyDescent="0.2">
      <c r="A205" s="18">
        <v>204</v>
      </c>
      <c r="B205" s="19" t="str">
        <f>IF(IFERROR(VLOOKUP(A205,Kardex!$A$1:$K$1498,2,FALSE),"")=0,"",IFERROR(VLOOKUP(A205,Kardex!$A$1:$K$1498,2,FALSE),""))</f>
        <v/>
      </c>
      <c r="C205" s="19" t="str">
        <f>IFERROR(VLOOKUP(A205,Kardex!$A$1:$K$1498,3,FALSE),"")</f>
        <v>General</v>
      </c>
      <c r="D205" s="20" t="str">
        <f>IFERROR(VLOOKUP(A205,Kardex!$A$1:$K$1498,4,FALSE),"")</f>
        <v>Cepillo carpintero</v>
      </c>
      <c r="E205" s="21" t="str">
        <f>IFERROR(VLOOKUP(A205,Kardex!$A$1:$K$1498,5,FALSE),"")</f>
        <v>Gabinete 1</v>
      </c>
      <c r="F205" s="21">
        <f>IFERROR(VLOOKUP(A205,Kardex!$A$1:$K$1498,6,FALSE),"")</f>
        <v>0</v>
      </c>
      <c r="G205" s="21">
        <f>IFERROR(VLOOKUP(A205,Kardex!$A$1:$K$1498,7,FALSE),"")</f>
        <v>0</v>
      </c>
      <c r="H205" s="21" t="str">
        <f>IFERROR(VLOOKUP(A205,Kardex!$A$1:$K$1498,8,FALSE),"")</f>
        <v>un</v>
      </c>
      <c r="I205" s="45">
        <f>IFERROR(VLOOKUP($A205,Kardex!$A$1:$L$1498,9,FALSE),"")</f>
        <v>2</v>
      </c>
      <c r="J205" s="45">
        <f>IFERROR(VLOOKUP($A205,Kardex!$A$1:$L$1498,10,FALSE),"")</f>
        <v>0</v>
      </c>
      <c r="K205" s="45">
        <f>IFERROR(VLOOKUP($A205,Kardex!$A$1:$L$1498,11,FALSE),"")</f>
        <v>0</v>
      </c>
      <c r="L205" s="45">
        <f>IFERROR(VLOOKUP($A205,Kardex!$A$1:$L$1498,12,FALSE),"")</f>
        <v>2</v>
      </c>
    </row>
    <row r="206" spans="1:12" ht="12.75" customHeight="1" x14ac:dyDescent="0.2">
      <c r="A206" s="18">
        <v>205</v>
      </c>
      <c r="B206" s="19" t="str">
        <f>IF(IFERROR(VLOOKUP(A206,Kardex!$A$1:$K$1498,2,FALSE),"")=0,"",IFERROR(VLOOKUP(A206,Kardex!$A$1:$K$1498,2,FALSE),""))</f>
        <v/>
      </c>
      <c r="C206" s="19" t="str">
        <f>IFERROR(VLOOKUP(A206,Kardex!$A$1:$K$1498,3,FALSE),"")</f>
        <v>General</v>
      </c>
      <c r="D206" s="20" t="str">
        <f>IFERROR(VLOOKUP(A206,Kardex!$A$1:$K$1498,4,FALSE),"")</f>
        <v>Caladora</v>
      </c>
      <c r="E206" s="21" t="str">
        <f>IFERROR(VLOOKUP(A206,Kardex!$A$1:$K$1498,5,FALSE),"")</f>
        <v>Gabinete 2</v>
      </c>
      <c r="F206" s="21">
        <f>IFERROR(VLOOKUP(A206,Kardex!$A$1:$K$1498,6,FALSE),"")</f>
        <v>0</v>
      </c>
      <c r="G206" s="21">
        <f>IFERROR(VLOOKUP(A206,Kardex!$A$1:$K$1498,7,FALSE),"")</f>
        <v>0</v>
      </c>
      <c r="H206" s="21" t="str">
        <f>IFERROR(VLOOKUP(A206,Kardex!$A$1:$K$1498,8,FALSE),"")</f>
        <v>un</v>
      </c>
      <c r="I206" s="45">
        <f>IFERROR(VLOOKUP($A206,Kardex!$A$1:$L$1498,9,FALSE),"")</f>
        <v>1</v>
      </c>
      <c r="J206" s="45">
        <f>IFERROR(VLOOKUP($A206,Kardex!$A$1:$L$1498,10,FALSE),"")</f>
        <v>0</v>
      </c>
      <c r="K206" s="45">
        <f>IFERROR(VLOOKUP($A206,Kardex!$A$1:$L$1498,11,FALSE),"")</f>
        <v>0</v>
      </c>
      <c r="L206" s="45">
        <f>IFERROR(VLOOKUP($A206,Kardex!$A$1:$L$1498,12,FALSE),"")</f>
        <v>1</v>
      </c>
    </row>
    <row r="207" spans="1:12" ht="12.75" customHeight="1" x14ac:dyDescent="0.2">
      <c r="A207" s="18">
        <v>206</v>
      </c>
      <c r="B207" s="19" t="str">
        <f>IF(IFERROR(VLOOKUP(A207,Kardex!$A$1:$K$1498,2,FALSE),"")=0,"",IFERROR(VLOOKUP(A207,Kardex!$A$1:$K$1498,2,FALSE),""))</f>
        <v/>
      </c>
      <c r="C207" s="19" t="str">
        <f>IFERROR(VLOOKUP(A207,Kardex!$A$1:$K$1498,3,FALSE),"")</f>
        <v>General</v>
      </c>
      <c r="D207" s="20" t="str">
        <f>IFERROR(VLOOKUP(A207,Kardex!$A$1:$K$1498,4,FALSE),"")</f>
        <v xml:space="preserve">Sargento </v>
      </c>
      <c r="E207" s="21" t="str">
        <f>IFERROR(VLOOKUP(A207,Kardex!$A$1:$K$1498,5,FALSE),"")</f>
        <v>Gabinete 2</v>
      </c>
      <c r="F207" s="21">
        <f>IFERROR(VLOOKUP(A207,Kardex!$A$1:$K$1498,6,FALSE),"")</f>
        <v>0</v>
      </c>
      <c r="G207" s="21">
        <f>IFERROR(VLOOKUP(A207,Kardex!$A$1:$K$1498,7,FALSE),"")</f>
        <v>0</v>
      </c>
      <c r="H207" s="21" t="str">
        <f>IFERROR(VLOOKUP(A207,Kardex!$A$1:$K$1498,8,FALSE),"")</f>
        <v>un</v>
      </c>
      <c r="I207" s="45">
        <f>IFERROR(VLOOKUP($A207,Kardex!$A$1:$L$1498,9,FALSE),"")</f>
        <v>1</v>
      </c>
      <c r="J207" s="45">
        <f>IFERROR(VLOOKUP($A207,Kardex!$A$1:$L$1498,10,FALSE),"")</f>
        <v>0</v>
      </c>
      <c r="K207" s="45">
        <f>IFERROR(VLOOKUP($A207,Kardex!$A$1:$L$1498,11,FALSE),"")</f>
        <v>0</v>
      </c>
      <c r="L207" s="45">
        <f>IFERROR(VLOOKUP($A207,Kardex!$A$1:$L$1498,12,FALSE),"")</f>
        <v>1</v>
      </c>
    </row>
    <row r="208" spans="1:12" ht="12.75" customHeight="1" x14ac:dyDescent="0.2">
      <c r="A208" s="18">
        <v>207</v>
      </c>
      <c r="B208" s="19" t="str">
        <f>IF(IFERROR(VLOOKUP(A208,Kardex!$A$1:$K$1498,2,FALSE),"")=0,"",IFERROR(VLOOKUP(A208,Kardex!$A$1:$K$1498,2,FALSE),""))</f>
        <v/>
      </c>
      <c r="C208" s="19" t="str">
        <f>IFERROR(VLOOKUP(A208,Kardex!$A$1:$K$1498,3,FALSE),"")</f>
        <v>General</v>
      </c>
      <c r="D208" s="20" t="str">
        <f>IFERROR(VLOOKUP(A208,Kardex!$A$1:$K$1498,4,FALSE),"")</f>
        <v>Tijeras para lamina</v>
      </c>
      <c r="E208" s="21" t="str">
        <f>IFERROR(VLOOKUP(A208,Kardex!$A$1:$K$1498,5,FALSE),"")</f>
        <v>Gabinete 2</v>
      </c>
      <c r="F208" s="21">
        <f>IFERROR(VLOOKUP(A208,Kardex!$A$1:$K$1498,6,FALSE),"")</f>
        <v>0</v>
      </c>
      <c r="G208" s="21">
        <f>IFERROR(VLOOKUP(A208,Kardex!$A$1:$K$1498,7,FALSE),"")</f>
        <v>0</v>
      </c>
      <c r="H208" s="21" t="str">
        <f>IFERROR(VLOOKUP(A208,Kardex!$A$1:$K$1498,8,FALSE),"")</f>
        <v>un</v>
      </c>
      <c r="I208" s="45">
        <f>IFERROR(VLOOKUP($A208,Kardex!$A$1:$L$1498,9,FALSE),"")</f>
        <v>1</v>
      </c>
      <c r="J208" s="45">
        <f>IFERROR(VLOOKUP($A208,Kardex!$A$1:$L$1498,10,FALSE),"")</f>
        <v>0</v>
      </c>
      <c r="K208" s="45">
        <f>IFERROR(VLOOKUP($A208,Kardex!$A$1:$L$1498,11,FALSE),"")</f>
        <v>0</v>
      </c>
      <c r="L208" s="45">
        <f>IFERROR(VLOOKUP($A208,Kardex!$A$1:$L$1498,12,FALSE),"")</f>
        <v>1</v>
      </c>
    </row>
    <row r="209" spans="1:12" ht="12.75" customHeight="1" x14ac:dyDescent="0.2">
      <c r="A209" s="18">
        <v>208</v>
      </c>
      <c r="B209" s="19" t="str">
        <f>IF(IFERROR(VLOOKUP(A209,Kardex!$A$1:$K$1498,2,FALSE),"")=0,"",IFERROR(VLOOKUP(A209,Kardex!$A$1:$K$1498,2,FALSE),""))</f>
        <v/>
      </c>
      <c r="C209" s="19" t="str">
        <f>IFERROR(VLOOKUP(A209,Kardex!$A$1:$K$1498,3,FALSE),"")</f>
        <v>General</v>
      </c>
      <c r="D209" s="20" t="str">
        <f>IFERROR(VLOOKUP(A209,Kardex!$A$1:$K$1498,4,FALSE),"")</f>
        <v>Prensa</v>
      </c>
      <c r="E209" s="21" t="str">
        <f>IFERROR(VLOOKUP(A209,Kardex!$A$1:$K$1498,5,FALSE),"")</f>
        <v>Gabinete 2</v>
      </c>
      <c r="F209" s="21">
        <f>IFERROR(VLOOKUP(A209,Kardex!$A$1:$K$1498,6,FALSE),"")</f>
        <v>0</v>
      </c>
      <c r="G209" s="21">
        <f>IFERROR(VLOOKUP(A209,Kardex!$A$1:$K$1498,7,FALSE),"")</f>
        <v>0</v>
      </c>
      <c r="H209" s="21" t="str">
        <f>IFERROR(VLOOKUP(A209,Kardex!$A$1:$K$1498,8,FALSE),"")</f>
        <v>un</v>
      </c>
      <c r="I209" s="45">
        <f>IFERROR(VLOOKUP($A209,Kardex!$A$1:$L$1498,9,FALSE),"")</f>
        <v>2</v>
      </c>
      <c r="J209" s="45">
        <f>IFERROR(VLOOKUP($A209,Kardex!$A$1:$L$1498,10,FALSE),"")</f>
        <v>0</v>
      </c>
      <c r="K209" s="45">
        <f>IFERROR(VLOOKUP($A209,Kardex!$A$1:$L$1498,11,FALSE),"")</f>
        <v>0</v>
      </c>
      <c r="L209" s="45">
        <f>IFERROR(VLOOKUP($A209,Kardex!$A$1:$L$1498,12,FALSE),"")</f>
        <v>2</v>
      </c>
    </row>
    <row r="210" spans="1:12" ht="12.75" customHeight="1" x14ac:dyDescent="0.2">
      <c r="A210" s="18">
        <v>209</v>
      </c>
      <c r="B210" s="19" t="str">
        <f>IF(IFERROR(VLOOKUP(A210,Kardex!$A$1:$K$1498,2,FALSE),"")=0,"",IFERROR(VLOOKUP(A210,Kardex!$A$1:$K$1498,2,FALSE),""))</f>
        <v/>
      </c>
      <c r="C210" s="19" t="str">
        <f>IFERROR(VLOOKUP(A210,Kardex!$A$1:$K$1498,3,FALSE),"")</f>
        <v>General</v>
      </c>
      <c r="D210" s="20" t="str">
        <f>IFERROR(VLOOKUP(A210,Kardex!$A$1:$K$1498,4,FALSE),"")</f>
        <v>Recogedores</v>
      </c>
      <c r="E210" s="21" t="str">
        <f>IFERROR(VLOOKUP(A210,Kardex!$A$1:$K$1498,5,FALSE),"")</f>
        <v>Gabinete de aseo</v>
      </c>
      <c r="F210" s="21">
        <f>IFERROR(VLOOKUP(A210,Kardex!$A$1:$K$1498,6,FALSE),"")</f>
        <v>0</v>
      </c>
      <c r="G210" s="21">
        <f>IFERROR(VLOOKUP(A210,Kardex!$A$1:$K$1498,7,FALSE),"")</f>
        <v>0</v>
      </c>
      <c r="H210" s="21" t="str">
        <f>IFERROR(VLOOKUP(A210,Kardex!$A$1:$K$1498,8,FALSE),"")</f>
        <v>un</v>
      </c>
      <c r="I210" s="45">
        <f>IFERROR(VLOOKUP($A210,Kardex!$A$1:$L$1498,9,FALSE),"")</f>
        <v>7</v>
      </c>
      <c r="J210" s="45">
        <f>IFERROR(VLOOKUP($A210,Kardex!$A$1:$L$1498,10,FALSE),"")</f>
        <v>0</v>
      </c>
      <c r="K210" s="45">
        <f>IFERROR(VLOOKUP($A210,Kardex!$A$1:$L$1498,11,FALSE),"")</f>
        <v>0</v>
      </c>
      <c r="L210" s="45">
        <f>IFERROR(VLOOKUP($A210,Kardex!$A$1:$L$1498,12,FALSE),"")</f>
        <v>7</v>
      </c>
    </row>
    <row r="211" spans="1:12" ht="12.75" customHeight="1" x14ac:dyDescent="0.2">
      <c r="A211" s="18">
        <v>210</v>
      </c>
      <c r="B211" s="19" t="str">
        <f>IF(IFERROR(VLOOKUP(A211,Kardex!$A$1:$K$1498,2,FALSE),"")=0,"",IFERROR(VLOOKUP(A211,Kardex!$A$1:$K$1498,2,FALSE),""))</f>
        <v/>
      </c>
      <c r="C211" s="19" t="str">
        <f>IFERROR(VLOOKUP(A211,Kardex!$A$1:$K$1498,3,FALSE),"")</f>
        <v>General</v>
      </c>
      <c r="D211" s="20" t="str">
        <f>IFERROR(VLOOKUP(A211,Kardex!$A$1:$K$1498,4,FALSE),"")</f>
        <v>Escobas</v>
      </c>
      <c r="E211" s="21" t="str">
        <f>IFERROR(VLOOKUP(A211,Kardex!$A$1:$K$1498,5,FALSE),"")</f>
        <v>Gabinete de aseo</v>
      </c>
      <c r="F211" s="21">
        <f>IFERROR(VLOOKUP(A211,Kardex!$A$1:$K$1498,6,FALSE),"")</f>
        <v>0</v>
      </c>
      <c r="G211" s="21">
        <f>IFERROR(VLOOKUP(A211,Kardex!$A$1:$K$1498,7,FALSE),"")</f>
        <v>0</v>
      </c>
      <c r="H211" s="21" t="str">
        <f>IFERROR(VLOOKUP(A211,Kardex!$A$1:$K$1498,8,FALSE),"")</f>
        <v>un</v>
      </c>
      <c r="I211" s="45">
        <f>IFERROR(VLOOKUP($A211,Kardex!$A$1:$L$1498,9,FALSE),"")</f>
        <v>11</v>
      </c>
      <c r="J211" s="45">
        <f>IFERROR(VLOOKUP($A211,Kardex!$A$1:$L$1498,10,FALSE),"")</f>
        <v>0</v>
      </c>
      <c r="K211" s="45">
        <f>IFERROR(VLOOKUP($A211,Kardex!$A$1:$L$1498,11,FALSE),"")</f>
        <v>0</v>
      </c>
      <c r="L211" s="45">
        <f>IFERROR(VLOOKUP($A211,Kardex!$A$1:$L$1498,12,FALSE),"")</f>
        <v>11</v>
      </c>
    </row>
    <row r="212" spans="1:12" ht="12.75" customHeight="1" x14ac:dyDescent="0.2">
      <c r="A212" s="18">
        <v>211</v>
      </c>
      <c r="B212" s="19" t="str">
        <f>IF(IFERROR(VLOOKUP(A212,Kardex!$A$1:$K$1498,2,FALSE),"")=0,"",IFERROR(VLOOKUP(A212,Kardex!$A$1:$K$1498,2,FALSE),""))</f>
        <v/>
      </c>
      <c r="C212" s="19" t="str">
        <f>IFERROR(VLOOKUP(A212,Kardex!$A$1:$K$1498,3,FALSE),"")</f>
        <v>General</v>
      </c>
      <c r="D212" s="20" t="str">
        <f>IFERROR(VLOOKUP(A212,Kardex!$A$1:$K$1498,4,FALSE),"")</f>
        <v>Traperos</v>
      </c>
      <c r="E212" s="21" t="str">
        <f>IFERROR(VLOOKUP(A212,Kardex!$A$1:$K$1498,5,FALSE),"")</f>
        <v>Gabinete de aseo</v>
      </c>
      <c r="F212" s="21">
        <f>IFERROR(VLOOKUP(A212,Kardex!$A$1:$K$1498,6,FALSE),"")</f>
        <v>0</v>
      </c>
      <c r="G212" s="21">
        <f>IFERROR(VLOOKUP(A212,Kardex!$A$1:$K$1498,7,FALSE),"")</f>
        <v>0</v>
      </c>
      <c r="H212" s="21" t="str">
        <f>IFERROR(VLOOKUP(A212,Kardex!$A$1:$K$1498,8,FALSE),"")</f>
        <v>un</v>
      </c>
      <c r="I212" s="45">
        <f>IFERROR(VLOOKUP($A212,Kardex!$A$1:$L$1498,9,FALSE),"")</f>
        <v>5</v>
      </c>
      <c r="J212" s="45">
        <f>IFERROR(VLOOKUP($A212,Kardex!$A$1:$L$1498,10,FALSE),"")</f>
        <v>0</v>
      </c>
      <c r="K212" s="45">
        <f>IFERROR(VLOOKUP($A212,Kardex!$A$1:$L$1498,11,FALSE),"")</f>
        <v>0</v>
      </c>
      <c r="L212" s="45">
        <f>IFERROR(VLOOKUP($A212,Kardex!$A$1:$L$1498,12,FALSE),"")</f>
        <v>5</v>
      </c>
    </row>
    <row r="213" spans="1:12" ht="12.75" customHeight="1" x14ac:dyDescent="0.2">
      <c r="A213" s="18">
        <v>212</v>
      </c>
      <c r="B213" s="19" t="str">
        <f>IF(IFERROR(VLOOKUP(A213,Kardex!$A$1:$K$1498,2,FALSE),"")=0,"",IFERROR(VLOOKUP(A213,Kardex!$A$1:$K$1498,2,FALSE),""))</f>
        <v/>
      </c>
      <c r="C213" s="19" t="str">
        <f>IFERROR(VLOOKUP(A213,Kardex!$A$1:$K$1498,3,FALSE),"")</f>
        <v>General</v>
      </c>
      <c r="D213" s="20" t="str">
        <f>IFERROR(VLOOKUP(A213,Kardex!$A$1:$K$1498,4,FALSE),"")</f>
        <v>Restregaderos</v>
      </c>
      <c r="E213" s="21" t="str">
        <f>IFERROR(VLOOKUP(A213,Kardex!$A$1:$K$1498,5,FALSE),"")</f>
        <v>Gabinete de aseo</v>
      </c>
      <c r="F213" s="21">
        <f>IFERROR(VLOOKUP(A213,Kardex!$A$1:$K$1498,6,FALSE),"")</f>
        <v>0</v>
      </c>
      <c r="G213" s="21">
        <f>IFERROR(VLOOKUP(A213,Kardex!$A$1:$K$1498,7,FALSE),"")</f>
        <v>0</v>
      </c>
      <c r="H213" s="21" t="str">
        <f>IFERROR(VLOOKUP(A213,Kardex!$A$1:$K$1498,8,FALSE),"")</f>
        <v>un</v>
      </c>
      <c r="I213" s="45">
        <f>IFERROR(VLOOKUP($A213,Kardex!$A$1:$L$1498,9,FALSE),"")</f>
        <v>5</v>
      </c>
      <c r="J213" s="45">
        <f>IFERROR(VLOOKUP($A213,Kardex!$A$1:$L$1498,10,FALSE),"")</f>
        <v>0</v>
      </c>
      <c r="K213" s="45">
        <f>IFERROR(VLOOKUP($A213,Kardex!$A$1:$L$1498,11,FALSE),"")</f>
        <v>0</v>
      </c>
      <c r="L213" s="45">
        <f>IFERROR(VLOOKUP($A213,Kardex!$A$1:$L$1498,12,FALSE),"")</f>
        <v>5</v>
      </c>
    </row>
    <row r="214" spans="1:12" ht="12.75" customHeight="1" x14ac:dyDescent="0.2">
      <c r="A214" s="18">
        <v>213</v>
      </c>
      <c r="B214" s="19" t="str">
        <f>IF(IFERROR(VLOOKUP(A214,Kardex!$A$1:$K$1498,2,FALSE),"")=0,"",IFERROR(VLOOKUP(A214,Kardex!$A$1:$K$1498,2,FALSE),""))</f>
        <v/>
      </c>
      <c r="C214" s="19" t="str">
        <f>IFERROR(VLOOKUP(A214,Kardex!$A$1:$K$1498,3,FALSE),"")</f>
        <v>General</v>
      </c>
      <c r="D214" s="20" t="str">
        <f>IFERROR(VLOOKUP(A214,Kardex!$A$1:$K$1498,4,FALSE),"")</f>
        <v>Sillas con tapizado en negro</v>
      </c>
      <c r="E214" s="21" t="str">
        <f>IFERROR(VLOOKUP(A214,Kardex!$A$1:$K$1498,5,FALSE),"")</f>
        <v>Aula</v>
      </c>
      <c r="F214" s="21">
        <f>IFERROR(VLOOKUP(A214,Kardex!$A$1:$K$1498,6,FALSE),"")</f>
        <v>0</v>
      </c>
      <c r="G214" s="21">
        <f>IFERROR(VLOOKUP(A214,Kardex!$A$1:$K$1498,7,FALSE),"")</f>
        <v>0</v>
      </c>
      <c r="H214" s="21" t="str">
        <f>IFERROR(VLOOKUP(A214,Kardex!$A$1:$K$1498,8,FALSE),"")</f>
        <v>un</v>
      </c>
      <c r="I214" s="45">
        <f>IFERROR(VLOOKUP($A214,Kardex!$A$1:$L$1498,9,FALSE),"")</f>
        <v>36</v>
      </c>
      <c r="J214" s="45">
        <f>IFERROR(VLOOKUP($A214,Kardex!$A$1:$L$1498,10,FALSE),"")</f>
        <v>0</v>
      </c>
      <c r="K214" s="45">
        <f>IFERROR(VLOOKUP($A214,Kardex!$A$1:$L$1498,11,FALSE),"")</f>
        <v>0</v>
      </c>
      <c r="L214" s="45">
        <f>IFERROR(VLOOKUP($A214,Kardex!$A$1:$L$1498,12,FALSE),"")</f>
        <v>36</v>
      </c>
    </row>
    <row r="215" spans="1:12" ht="12.75" customHeight="1" x14ac:dyDescent="0.2">
      <c r="A215" s="18">
        <v>214</v>
      </c>
      <c r="B215" s="19" t="str">
        <f>IF(IFERROR(VLOOKUP(A215,Kardex!$A$1:$K$1498,2,FALSE),"")=0,"",IFERROR(VLOOKUP(A215,Kardex!$A$1:$K$1498,2,FALSE),""))</f>
        <v/>
      </c>
      <c r="C215" s="19" t="str">
        <f>IFERROR(VLOOKUP(A215,Kardex!$A$1:$K$1498,3,FALSE),"")</f>
        <v>General</v>
      </c>
      <c r="D215" s="20" t="str">
        <f>IFERROR(VLOOKUP(A215,Kardex!$A$1:$K$1498,4,FALSE),"")</f>
        <v>Escritorios</v>
      </c>
      <c r="E215" s="21" t="str">
        <f>IFERROR(VLOOKUP(A215,Kardex!$A$1:$K$1498,5,FALSE),"")</f>
        <v>Aula</v>
      </c>
      <c r="F215" s="21">
        <f>IFERROR(VLOOKUP(A215,Kardex!$A$1:$K$1498,6,FALSE),"")</f>
        <v>0</v>
      </c>
      <c r="G215" s="21">
        <f>IFERROR(VLOOKUP(A215,Kardex!$A$1:$K$1498,7,FALSE),"")</f>
        <v>0</v>
      </c>
      <c r="H215" s="21" t="str">
        <f>IFERROR(VLOOKUP(A215,Kardex!$A$1:$K$1498,8,FALSE),"")</f>
        <v>un</v>
      </c>
      <c r="I215" s="45">
        <f>IFERROR(VLOOKUP($A215,Kardex!$A$1:$L$1498,9,FALSE),"")</f>
        <v>3</v>
      </c>
      <c r="J215" s="45">
        <f>IFERROR(VLOOKUP($A215,Kardex!$A$1:$L$1498,10,FALSE),"")</f>
        <v>0</v>
      </c>
      <c r="K215" s="45">
        <f>IFERROR(VLOOKUP($A215,Kardex!$A$1:$L$1498,11,FALSE),"")</f>
        <v>0</v>
      </c>
      <c r="L215" s="45">
        <f>IFERROR(VLOOKUP($A215,Kardex!$A$1:$L$1498,12,FALSE),"")</f>
        <v>3</v>
      </c>
    </row>
    <row r="216" spans="1:12" ht="12.75" customHeight="1" x14ac:dyDescent="0.2">
      <c r="A216" s="18">
        <v>215</v>
      </c>
      <c r="B216" s="19" t="str">
        <f>IF(IFERROR(VLOOKUP(A216,Kardex!$A$1:$K$1498,2,FALSE),"")=0,"",IFERROR(VLOOKUP(A216,Kardex!$A$1:$K$1498,2,FALSE),""))</f>
        <v/>
      </c>
      <c r="C216" s="19" t="str">
        <f>IFERROR(VLOOKUP(A216,Kardex!$A$1:$K$1498,3,FALSE),"")</f>
        <v>General</v>
      </c>
      <c r="D216" s="20" t="str">
        <f>IFERROR(VLOOKUP(A216,Kardex!$A$1:$K$1498,4,FALSE),"")</f>
        <v>Blokers</v>
      </c>
      <c r="E216" s="21" t="str">
        <f>IFERROR(VLOOKUP(A216,Kardex!$A$1:$K$1498,5,FALSE),"")</f>
        <v>Aula</v>
      </c>
      <c r="F216" s="21">
        <f>IFERROR(VLOOKUP(A216,Kardex!$A$1:$K$1498,6,FALSE),"")</f>
        <v>0</v>
      </c>
      <c r="G216" s="21">
        <f>IFERROR(VLOOKUP(A216,Kardex!$A$1:$K$1498,7,FALSE),"")</f>
        <v>0</v>
      </c>
      <c r="H216" s="21" t="str">
        <f>IFERROR(VLOOKUP(A216,Kardex!$A$1:$K$1498,8,FALSE),"")</f>
        <v>un</v>
      </c>
      <c r="I216" s="45">
        <f>IFERROR(VLOOKUP($A216,Kardex!$A$1:$L$1498,9,FALSE),"")</f>
        <v>2</v>
      </c>
      <c r="J216" s="45">
        <f>IFERROR(VLOOKUP($A216,Kardex!$A$1:$L$1498,10,FALSE),"")</f>
        <v>0</v>
      </c>
      <c r="K216" s="45">
        <f>IFERROR(VLOOKUP($A216,Kardex!$A$1:$L$1498,11,FALSE),"")</f>
        <v>0</v>
      </c>
      <c r="L216" s="45">
        <f>IFERROR(VLOOKUP($A216,Kardex!$A$1:$L$1498,12,FALSE),"")</f>
        <v>2</v>
      </c>
    </row>
    <row r="217" spans="1:12" ht="12.75" customHeight="1" x14ac:dyDescent="0.2">
      <c r="A217" s="18">
        <v>216</v>
      </c>
      <c r="B217" s="19" t="str">
        <f>IF(IFERROR(VLOOKUP(A217,Kardex!$A$1:$K$1498,2,FALSE),"")=0,"",IFERROR(VLOOKUP(A217,Kardex!$A$1:$K$1498,2,FALSE),""))</f>
        <v/>
      </c>
      <c r="C217" s="19" t="str">
        <f>IFERROR(VLOOKUP(A217,Kardex!$A$1:$K$1498,3,FALSE),"")</f>
        <v>General</v>
      </c>
      <c r="D217" s="20" t="str">
        <f>IFERROR(VLOOKUP(A217,Kardex!$A$1:$K$1498,4,FALSE),"")</f>
        <v>Gabinetes</v>
      </c>
      <c r="E217" s="21" t="str">
        <f>IFERROR(VLOOKUP(A217,Kardex!$A$1:$K$1498,5,FALSE),"")</f>
        <v>Aula</v>
      </c>
      <c r="F217" s="21">
        <f>IFERROR(VLOOKUP(A217,Kardex!$A$1:$K$1498,6,FALSE),"")</f>
        <v>0</v>
      </c>
      <c r="G217" s="21">
        <f>IFERROR(VLOOKUP(A217,Kardex!$A$1:$K$1498,7,FALSE),"")</f>
        <v>0</v>
      </c>
      <c r="H217" s="21" t="str">
        <f>IFERROR(VLOOKUP(A217,Kardex!$A$1:$K$1498,8,FALSE),"")</f>
        <v>un</v>
      </c>
      <c r="I217" s="45">
        <f>IFERROR(VLOOKUP($A217,Kardex!$A$1:$L$1498,9,FALSE),"")</f>
        <v>2</v>
      </c>
      <c r="J217" s="45">
        <f>IFERROR(VLOOKUP($A217,Kardex!$A$1:$L$1498,10,FALSE),"")</f>
        <v>0</v>
      </c>
      <c r="K217" s="45">
        <f>IFERROR(VLOOKUP($A217,Kardex!$A$1:$L$1498,11,FALSE),"")</f>
        <v>0</v>
      </c>
      <c r="L217" s="45">
        <f>IFERROR(VLOOKUP($A217,Kardex!$A$1:$L$1498,12,FALSE),"")</f>
        <v>2</v>
      </c>
    </row>
    <row r="218" spans="1:12" ht="12.75" customHeight="1" x14ac:dyDescent="0.2">
      <c r="A218" s="18">
        <v>217</v>
      </c>
      <c r="B218" s="19" t="str">
        <f>IF(IFERROR(VLOOKUP(A218,Kardex!$A$1:$K$1498,2,FALSE),"")=0,"",IFERROR(VLOOKUP(A218,Kardex!$A$1:$K$1498,2,FALSE),""))</f>
        <v/>
      </c>
      <c r="C218" s="19" t="str">
        <f>IFERROR(VLOOKUP(A218,Kardex!$A$1:$K$1498,3,FALSE),"")</f>
        <v>General</v>
      </c>
      <c r="D218" s="20" t="str">
        <f>IFERROR(VLOOKUP(A218,Kardex!$A$1:$K$1498,4,FALSE),"")</f>
        <v>Mesas de aprendiz</v>
      </c>
      <c r="E218" s="21" t="str">
        <f>IFERROR(VLOOKUP(A218,Kardex!$A$1:$K$1498,5,FALSE),"")</f>
        <v>Aula</v>
      </c>
      <c r="F218" s="21">
        <f>IFERROR(VLOOKUP(A218,Kardex!$A$1:$K$1498,6,FALSE),"")</f>
        <v>0</v>
      </c>
      <c r="G218" s="21">
        <f>IFERROR(VLOOKUP(A218,Kardex!$A$1:$K$1498,7,FALSE),"")</f>
        <v>0</v>
      </c>
      <c r="H218" s="21" t="str">
        <f>IFERROR(VLOOKUP(A218,Kardex!$A$1:$K$1498,8,FALSE),"")</f>
        <v>un</v>
      </c>
      <c r="I218" s="45">
        <f>IFERROR(VLOOKUP($A218,Kardex!$A$1:$L$1498,9,FALSE),"")</f>
        <v>17</v>
      </c>
      <c r="J218" s="45">
        <f>IFERROR(VLOOKUP($A218,Kardex!$A$1:$L$1498,10,FALSE),"")</f>
        <v>0</v>
      </c>
      <c r="K218" s="45">
        <f>IFERROR(VLOOKUP($A218,Kardex!$A$1:$L$1498,11,FALSE),"")</f>
        <v>0</v>
      </c>
      <c r="L218" s="45">
        <f>IFERROR(VLOOKUP($A218,Kardex!$A$1:$L$1498,12,FALSE),"")</f>
        <v>17</v>
      </c>
    </row>
    <row r="219" spans="1:12" ht="12.75" customHeight="1" x14ac:dyDescent="0.2">
      <c r="A219" s="18">
        <v>218</v>
      </c>
      <c r="B219" s="19" t="str">
        <f>IF(IFERROR(VLOOKUP(A219,Kardex!$A$1:$K$1498,2,FALSE),"")=0,"",IFERROR(VLOOKUP(A219,Kardex!$A$1:$K$1498,2,FALSE),""))</f>
        <v/>
      </c>
      <c r="C219" s="19" t="str">
        <f>IFERROR(VLOOKUP(A219,Kardex!$A$1:$K$1498,3,FALSE),"")</f>
        <v>General</v>
      </c>
      <c r="D219" s="20" t="str">
        <f>IFERROR(VLOOKUP(A219,Kardex!$A$1:$K$1498,4,FALSE),"")</f>
        <v>Televisor</v>
      </c>
      <c r="E219" s="21" t="str">
        <f>IFERROR(VLOOKUP(A219,Kardex!$A$1:$K$1498,5,FALSE),"")</f>
        <v>Aula</v>
      </c>
      <c r="F219" s="21">
        <f>IFERROR(VLOOKUP(A219,Kardex!$A$1:$K$1498,6,FALSE),"")</f>
        <v>0</v>
      </c>
      <c r="G219" s="21">
        <f>IFERROR(VLOOKUP(A219,Kardex!$A$1:$K$1498,7,FALSE),"")</f>
        <v>0</v>
      </c>
      <c r="H219" s="21" t="str">
        <f>IFERROR(VLOOKUP(A219,Kardex!$A$1:$K$1498,8,FALSE),"")</f>
        <v>un</v>
      </c>
      <c r="I219" s="45">
        <f>IFERROR(VLOOKUP($A219,Kardex!$A$1:$L$1498,9,FALSE),"")</f>
        <v>1</v>
      </c>
      <c r="J219" s="45">
        <f>IFERROR(VLOOKUP($A219,Kardex!$A$1:$L$1498,10,FALSE),"")</f>
        <v>0</v>
      </c>
      <c r="K219" s="45">
        <f>IFERROR(VLOOKUP($A219,Kardex!$A$1:$L$1498,11,FALSE),"")</f>
        <v>0</v>
      </c>
      <c r="L219" s="45">
        <f>IFERROR(VLOOKUP($A219,Kardex!$A$1:$L$1498,12,FALSE),"")</f>
        <v>1</v>
      </c>
    </row>
    <row r="220" spans="1:12" ht="12.75" customHeight="1" x14ac:dyDescent="0.2">
      <c r="A220" s="18">
        <v>219</v>
      </c>
      <c r="B220" s="19" t="str">
        <f>IF(IFERROR(VLOOKUP(A220,Kardex!$A$1:$K$1498,2,FALSE),"")=0,"",IFERROR(VLOOKUP(A220,Kardex!$A$1:$K$1498,2,FALSE),""))</f>
        <v/>
      </c>
      <c r="C220" s="19" t="str">
        <f>IFERROR(VLOOKUP(A220,Kardex!$A$1:$K$1498,3,FALSE),"")</f>
        <v>General</v>
      </c>
      <c r="D220" s="20" t="str">
        <f>IFERROR(VLOOKUP(A220,Kardex!$A$1:$K$1498,4,FALSE),"")</f>
        <v>Tablero</v>
      </c>
      <c r="E220" s="21" t="str">
        <f>IFERROR(VLOOKUP(A220,Kardex!$A$1:$K$1498,5,FALSE),"")</f>
        <v>Aula</v>
      </c>
      <c r="F220" s="21">
        <f>IFERROR(VLOOKUP(A220,Kardex!$A$1:$K$1498,6,FALSE),"")</f>
        <v>0</v>
      </c>
      <c r="G220" s="21">
        <f>IFERROR(VLOOKUP(A220,Kardex!$A$1:$K$1498,7,FALSE),"")</f>
        <v>0</v>
      </c>
      <c r="H220" s="21" t="str">
        <f>IFERROR(VLOOKUP(A220,Kardex!$A$1:$K$1498,8,FALSE),"")</f>
        <v>un</v>
      </c>
      <c r="I220" s="45">
        <f>IFERROR(VLOOKUP($A220,Kardex!$A$1:$L$1498,9,FALSE),"")</f>
        <v>1</v>
      </c>
      <c r="J220" s="45">
        <f>IFERROR(VLOOKUP($A220,Kardex!$A$1:$L$1498,10,FALSE),"")</f>
        <v>0</v>
      </c>
      <c r="K220" s="45">
        <f>IFERROR(VLOOKUP($A220,Kardex!$A$1:$L$1498,11,FALSE),"")</f>
        <v>0</v>
      </c>
      <c r="L220" s="45">
        <f>IFERROR(VLOOKUP($A220,Kardex!$A$1:$L$1498,12,FALSE),"")</f>
        <v>1</v>
      </c>
    </row>
    <row r="221" spans="1:12" ht="12.75" customHeight="1" x14ac:dyDescent="0.2">
      <c r="A221" s="18">
        <v>220</v>
      </c>
      <c r="B221" s="19" t="str">
        <f>IF(IFERROR(VLOOKUP(A221,Kardex!$A$1:$K$1498,2,FALSE),"")=0,"",IFERROR(VLOOKUP(A221,Kardex!$A$1:$K$1498,2,FALSE),""))</f>
        <v/>
      </c>
      <c r="C221" s="19" t="str">
        <f>IFERROR(VLOOKUP(A221,Kardex!$A$1:$K$1498,3,FALSE),"")</f>
        <v>General</v>
      </c>
      <c r="D221" s="20" t="str">
        <f>IFERROR(VLOOKUP(A221,Kardex!$A$1:$K$1498,4,FALSE),"")</f>
        <v>silla para docente</v>
      </c>
      <c r="E221" s="21" t="str">
        <f>IFERROR(VLOOKUP(A221,Kardex!$A$1:$K$1498,5,FALSE),"")</f>
        <v>Aula</v>
      </c>
      <c r="F221" s="21">
        <f>IFERROR(VLOOKUP(A221,Kardex!$A$1:$K$1498,6,FALSE),"")</f>
        <v>0</v>
      </c>
      <c r="G221" s="21">
        <f>IFERROR(VLOOKUP(A221,Kardex!$A$1:$K$1498,7,FALSE),"")</f>
        <v>0</v>
      </c>
      <c r="H221" s="21" t="str">
        <f>IFERROR(VLOOKUP(A221,Kardex!$A$1:$K$1498,8,FALSE),"")</f>
        <v>un</v>
      </c>
      <c r="I221" s="45">
        <f>IFERROR(VLOOKUP($A221,Kardex!$A$1:$L$1498,9,FALSE),"")</f>
        <v>1</v>
      </c>
      <c r="J221" s="45">
        <f>IFERROR(VLOOKUP($A221,Kardex!$A$1:$L$1498,10,FALSE),"")</f>
        <v>0</v>
      </c>
      <c r="K221" s="45">
        <f>IFERROR(VLOOKUP($A221,Kardex!$A$1:$L$1498,11,FALSE),"")</f>
        <v>0</v>
      </c>
      <c r="L221" s="45">
        <f>IFERROR(VLOOKUP($A221,Kardex!$A$1:$L$1498,12,FALSE),"")</f>
        <v>1</v>
      </c>
    </row>
    <row r="222" spans="1:12" ht="12.75" customHeight="1" x14ac:dyDescent="0.2">
      <c r="A222" s="18">
        <v>221</v>
      </c>
      <c r="B222" s="19" t="str">
        <f>IF(IFERROR(VLOOKUP(A222,Kardex!$A$1:$K$1498,2,FALSE),"")=0,"",IFERROR(VLOOKUP(A222,Kardex!$A$1:$K$1498,2,FALSE),""))</f>
        <v/>
      </c>
      <c r="C222" s="19" t="str">
        <f>IFERROR(VLOOKUP(A222,Kardex!$A$1:$K$1498,3,FALSE),"")</f>
        <v/>
      </c>
      <c r="D222" s="20" t="str">
        <f>IFERROR(VLOOKUP(A222,Kardex!$A$1:$K$1498,4,FALSE),"")</f>
        <v/>
      </c>
      <c r="E222" s="21" t="str">
        <f>IFERROR(VLOOKUP(A222,Kardex!$A$1:$K$1498,5,FALSE),"")</f>
        <v/>
      </c>
      <c r="F222" s="21" t="str">
        <f>IFERROR(VLOOKUP(A222,Kardex!$A$1:$K$1498,6,FALSE),"")</f>
        <v/>
      </c>
      <c r="G222" s="21" t="str">
        <f>IFERROR(VLOOKUP(A222,Kardex!$A$1:$K$1498,7,FALSE),"")</f>
        <v/>
      </c>
      <c r="H222" s="21" t="str">
        <f>IFERROR(VLOOKUP(A222,Kardex!$A$1:$K$1498,8,FALSE),"")</f>
        <v/>
      </c>
      <c r="I222" s="45" t="str">
        <f>IFERROR(VLOOKUP($A222,Kardex!$A$1:$L$1498,9,FALSE),"")</f>
        <v/>
      </c>
      <c r="J222" s="45" t="str">
        <f>IFERROR(VLOOKUP($A222,Kardex!$A$1:$L$1498,10,FALSE),"")</f>
        <v/>
      </c>
      <c r="K222" s="45" t="str">
        <f>IFERROR(VLOOKUP($A222,Kardex!$A$1:$L$1498,11,FALSE),"")</f>
        <v/>
      </c>
      <c r="L222" s="45" t="str">
        <f>IFERROR(VLOOKUP($A222,Kardex!$A$1:$L$1498,12,FALSE),"")</f>
        <v/>
      </c>
    </row>
    <row r="223" spans="1:12" ht="12.75" customHeight="1" x14ac:dyDescent="0.2">
      <c r="A223" s="18">
        <v>222</v>
      </c>
      <c r="B223" s="19" t="str">
        <f>IF(IFERROR(VLOOKUP(A223,Kardex!$A$1:$K$1498,2,FALSE),"")=0,"",IFERROR(VLOOKUP(A223,Kardex!$A$1:$K$1498,2,FALSE),""))</f>
        <v/>
      </c>
      <c r="C223" s="19" t="str">
        <f>IFERROR(VLOOKUP(A223,Kardex!$A$1:$K$1498,3,FALSE),"")</f>
        <v/>
      </c>
      <c r="D223" s="20" t="str">
        <f>IFERROR(VLOOKUP(A223,Kardex!$A$1:$K$1498,4,FALSE),"")</f>
        <v/>
      </c>
      <c r="E223" s="21" t="str">
        <f>IFERROR(VLOOKUP(A223,Kardex!$A$1:$K$1498,5,FALSE),"")</f>
        <v/>
      </c>
      <c r="F223" s="21" t="str">
        <f>IFERROR(VLOOKUP(A223,Kardex!$A$1:$K$1498,6,FALSE),"")</f>
        <v/>
      </c>
      <c r="G223" s="21" t="str">
        <f>IFERROR(VLOOKUP(A223,Kardex!$A$1:$K$1498,7,FALSE),"")</f>
        <v/>
      </c>
      <c r="H223" s="21" t="str">
        <f>IFERROR(VLOOKUP(A223,Kardex!$A$1:$K$1498,8,FALSE),"")</f>
        <v/>
      </c>
      <c r="I223" s="45" t="str">
        <f>IFERROR(VLOOKUP($A223,Kardex!$A$1:$L$1498,9,FALSE),"")</f>
        <v/>
      </c>
      <c r="J223" s="45" t="str">
        <f>IFERROR(VLOOKUP($A223,Kardex!$A$1:$L$1498,10,FALSE),"")</f>
        <v/>
      </c>
      <c r="K223" s="45" t="str">
        <f>IFERROR(VLOOKUP($A223,Kardex!$A$1:$L$1498,11,FALSE),"")</f>
        <v/>
      </c>
      <c r="L223" s="45" t="str">
        <f>IFERROR(VLOOKUP($A223,Kardex!$A$1:$L$1498,12,FALSE),"")</f>
        <v/>
      </c>
    </row>
    <row r="224" spans="1:12"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sheetData>
  <conditionalFormatting sqref="L2:L223">
    <cfRule type="cellIs" dxfId="189" priority="1" operator="between">
      <formula>5</formula>
      <formula>10000</formula>
    </cfRule>
    <cfRule type="cellIs" dxfId="188" priority="2" operator="between">
      <formula>0</formula>
      <formula>4</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3561-6A0B-4D46-A6F6-0A4895D938A7}">
  <sheetPr>
    <tabColor rgb="FFFF0000"/>
  </sheetPr>
  <dimension ref="B3:H24"/>
  <sheetViews>
    <sheetView view="pageBreakPreview" zoomScaleNormal="100" zoomScaleSheetLayoutView="100" workbookViewId="0">
      <selection activeCell="H5" sqref="H5"/>
    </sheetView>
  </sheetViews>
  <sheetFormatPr baseColWidth="10" defaultRowHeight="12.75" x14ac:dyDescent="0.2"/>
  <cols>
    <col min="2" max="2" width="11.5703125" bestFit="1" customWidth="1"/>
    <col min="3" max="3" width="14.42578125" bestFit="1" customWidth="1"/>
    <col min="4" max="4" width="11.5703125" bestFit="1" customWidth="1"/>
    <col min="6" max="6" width="11.85546875" customWidth="1"/>
    <col min="8" max="8" width="12.85546875" customWidth="1"/>
  </cols>
  <sheetData>
    <row r="3" spans="2:8" x14ac:dyDescent="0.2">
      <c r="B3" s="23" t="s">
        <v>352</v>
      </c>
      <c r="C3" s="23" t="s">
        <v>353</v>
      </c>
      <c r="D3" s="23" t="s">
        <v>354</v>
      </c>
      <c r="E3" s="23" t="s">
        <v>386</v>
      </c>
      <c r="F3" s="23" t="s">
        <v>355</v>
      </c>
      <c r="G3" s="23" t="s">
        <v>387</v>
      </c>
      <c r="H3" s="23" t="s">
        <v>356</v>
      </c>
    </row>
    <row r="4" spans="2:8" x14ac:dyDescent="0.2">
      <c r="B4" s="25">
        <v>1</v>
      </c>
      <c r="C4" s="24">
        <v>95141024781</v>
      </c>
      <c r="D4" s="24">
        <v>24781</v>
      </c>
      <c r="E4" s="22" t="s">
        <v>357</v>
      </c>
      <c r="F4" s="22" t="s">
        <v>357</v>
      </c>
      <c r="G4" s="22" t="s">
        <v>357</v>
      </c>
      <c r="H4" s="22" t="s">
        <v>358</v>
      </c>
    </row>
    <row r="5" spans="2:8" x14ac:dyDescent="0.2">
      <c r="B5" s="25">
        <v>2</v>
      </c>
      <c r="C5" s="24">
        <v>95141024782</v>
      </c>
      <c r="D5" s="24">
        <v>24782</v>
      </c>
      <c r="E5" s="22"/>
      <c r="F5" s="22"/>
      <c r="G5" s="22"/>
      <c r="H5" s="22"/>
    </row>
    <row r="6" spans="2:8" x14ac:dyDescent="0.2">
      <c r="B6" s="25">
        <v>3</v>
      </c>
      <c r="C6" s="24">
        <v>95141024815</v>
      </c>
      <c r="D6" s="24">
        <v>24815</v>
      </c>
      <c r="E6" s="22" t="s">
        <v>357</v>
      </c>
      <c r="F6" s="22" t="s">
        <v>357</v>
      </c>
      <c r="G6" s="22" t="s">
        <v>357</v>
      </c>
      <c r="H6" s="22" t="s">
        <v>358</v>
      </c>
    </row>
    <row r="7" spans="2:8" x14ac:dyDescent="0.2">
      <c r="B7" s="25">
        <v>4</v>
      </c>
      <c r="C7" s="24">
        <v>95141024831</v>
      </c>
      <c r="D7" s="24">
        <v>24831</v>
      </c>
      <c r="E7" s="22" t="s">
        <v>357</v>
      </c>
      <c r="F7" s="22" t="s">
        <v>357</v>
      </c>
      <c r="G7" s="22" t="s">
        <v>357</v>
      </c>
      <c r="H7" s="22" t="s">
        <v>359</v>
      </c>
    </row>
    <row r="8" spans="2:8" x14ac:dyDescent="0.2">
      <c r="B8" s="25">
        <v>5</v>
      </c>
      <c r="C8" s="24">
        <v>95141024843</v>
      </c>
      <c r="D8" s="24">
        <v>24843</v>
      </c>
      <c r="E8" s="22"/>
      <c r="F8" s="22"/>
      <c r="G8" s="22" t="s">
        <v>357</v>
      </c>
      <c r="H8" s="22" t="s">
        <v>359</v>
      </c>
    </row>
    <row r="9" spans="2:8" x14ac:dyDescent="0.2">
      <c r="B9" s="25">
        <v>6</v>
      </c>
      <c r="C9" s="24">
        <v>95141024859</v>
      </c>
      <c r="D9" s="24">
        <v>24859</v>
      </c>
      <c r="E9" s="22"/>
      <c r="F9" s="22"/>
      <c r="G9" s="22" t="s">
        <v>357</v>
      </c>
      <c r="H9" s="22" t="s">
        <v>358</v>
      </c>
    </row>
    <row r="10" spans="2:8" x14ac:dyDescent="0.2">
      <c r="B10" s="25">
        <v>7</v>
      </c>
      <c r="C10" s="24">
        <v>95141024890</v>
      </c>
      <c r="D10" s="24">
        <v>24890</v>
      </c>
      <c r="E10" s="22" t="s">
        <v>357</v>
      </c>
      <c r="F10" s="22" t="s">
        <v>357</v>
      </c>
      <c r="G10" s="22" t="s">
        <v>357</v>
      </c>
      <c r="H10" s="22" t="s">
        <v>359</v>
      </c>
    </row>
    <row r="11" spans="2:8" x14ac:dyDescent="0.2">
      <c r="B11" s="25">
        <v>8</v>
      </c>
      <c r="C11" s="24">
        <v>95141024893</v>
      </c>
      <c r="D11" s="24">
        <v>24893</v>
      </c>
      <c r="E11" s="22" t="s">
        <v>357</v>
      </c>
      <c r="F11" s="22" t="s">
        <v>357</v>
      </c>
      <c r="G11" s="22" t="s">
        <v>357</v>
      </c>
      <c r="H11" s="22" t="s">
        <v>358</v>
      </c>
    </row>
    <row r="12" spans="2:8" x14ac:dyDescent="0.2">
      <c r="B12" s="25">
        <v>9</v>
      </c>
      <c r="C12" s="24">
        <v>95141024919</v>
      </c>
      <c r="D12" s="24">
        <v>24919</v>
      </c>
      <c r="E12" s="22" t="s">
        <v>357</v>
      </c>
      <c r="F12" s="22" t="s">
        <v>357</v>
      </c>
      <c r="G12" s="22" t="s">
        <v>357</v>
      </c>
      <c r="H12" s="22" t="s">
        <v>359</v>
      </c>
    </row>
    <row r="13" spans="2:8" x14ac:dyDescent="0.2">
      <c r="B13" s="25">
        <v>10</v>
      </c>
      <c r="C13" s="24">
        <v>95141024937</v>
      </c>
      <c r="D13" s="24">
        <v>24937</v>
      </c>
      <c r="E13" s="22" t="s">
        <v>357</v>
      </c>
      <c r="F13" s="22" t="s">
        <v>357</v>
      </c>
      <c r="G13" s="22" t="s">
        <v>357</v>
      </c>
      <c r="H13" s="22" t="s">
        <v>358</v>
      </c>
    </row>
    <row r="14" spans="2:8" x14ac:dyDescent="0.2">
      <c r="B14" s="25">
        <v>11</v>
      </c>
      <c r="C14" s="24">
        <v>95141024986</v>
      </c>
      <c r="D14" s="24">
        <v>24986</v>
      </c>
      <c r="E14" s="22" t="s">
        <v>357</v>
      </c>
      <c r="F14" s="22" t="s">
        <v>357</v>
      </c>
      <c r="G14" s="22" t="s">
        <v>357</v>
      </c>
      <c r="H14" s="22" t="s">
        <v>359</v>
      </c>
    </row>
    <row r="15" spans="2:8" x14ac:dyDescent="0.2">
      <c r="B15" s="25">
        <v>12</v>
      </c>
      <c r="C15" s="24">
        <v>95141024987</v>
      </c>
      <c r="D15" s="24">
        <v>24987</v>
      </c>
      <c r="E15" s="22" t="s">
        <v>357</v>
      </c>
      <c r="F15" s="22"/>
      <c r="G15" s="22"/>
      <c r="H15" s="22"/>
    </row>
    <row r="16" spans="2:8" x14ac:dyDescent="0.2">
      <c r="B16" s="25">
        <v>13</v>
      </c>
      <c r="C16" s="24">
        <v>95141024996</v>
      </c>
      <c r="D16" s="24">
        <v>24996</v>
      </c>
      <c r="E16" s="22" t="s">
        <v>357</v>
      </c>
      <c r="F16" s="22"/>
      <c r="G16" s="22"/>
      <c r="H16" s="22"/>
    </row>
    <row r="17" spans="2:8" x14ac:dyDescent="0.2">
      <c r="B17" s="25">
        <v>14</v>
      </c>
      <c r="C17" s="24">
        <v>95141025022</v>
      </c>
      <c r="D17" s="24">
        <v>25022</v>
      </c>
      <c r="E17" s="22" t="s">
        <v>357</v>
      </c>
      <c r="F17" s="22" t="s">
        <v>357</v>
      </c>
      <c r="G17" s="22" t="s">
        <v>357</v>
      </c>
      <c r="H17" s="22" t="s">
        <v>358</v>
      </c>
    </row>
    <row r="18" spans="2:8" x14ac:dyDescent="0.2">
      <c r="B18" s="25">
        <v>15</v>
      </c>
      <c r="C18" s="24">
        <v>95141025025</v>
      </c>
      <c r="D18" s="24">
        <v>25025</v>
      </c>
      <c r="E18" s="22" t="s">
        <v>357</v>
      </c>
      <c r="F18" s="22" t="s">
        <v>357</v>
      </c>
      <c r="G18" s="22" t="s">
        <v>357</v>
      </c>
      <c r="H18" s="22" t="s">
        <v>358</v>
      </c>
    </row>
    <row r="19" spans="2:8" x14ac:dyDescent="0.2">
      <c r="B19" s="25">
        <v>16</v>
      </c>
      <c r="C19" s="24">
        <v>95141025033</v>
      </c>
      <c r="D19" s="24">
        <v>25033</v>
      </c>
      <c r="E19" s="22" t="s">
        <v>357</v>
      </c>
      <c r="F19" s="22" t="s">
        <v>357</v>
      </c>
      <c r="G19" s="22" t="s">
        <v>357</v>
      </c>
      <c r="H19" s="22" t="s">
        <v>358</v>
      </c>
    </row>
    <row r="20" spans="2:8" x14ac:dyDescent="0.2">
      <c r="B20" s="25">
        <v>17</v>
      </c>
      <c r="C20" s="24">
        <v>95141025035</v>
      </c>
      <c r="D20" s="24">
        <v>25035</v>
      </c>
      <c r="E20" s="22" t="s">
        <v>357</v>
      </c>
      <c r="F20" s="22" t="s">
        <v>357</v>
      </c>
      <c r="G20" s="22" t="s">
        <v>357</v>
      </c>
      <c r="H20" s="22" t="s">
        <v>358</v>
      </c>
    </row>
    <row r="21" spans="2:8" x14ac:dyDescent="0.2">
      <c r="B21" s="25">
        <v>18</v>
      </c>
      <c r="C21" s="24">
        <v>95141025051</v>
      </c>
      <c r="D21" s="24">
        <v>25051</v>
      </c>
      <c r="E21" s="22" t="s">
        <v>357</v>
      </c>
      <c r="F21" s="22" t="s">
        <v>357</v>
      </c>
      <c r="G21" s="22" t="s">
        <v>357</v>
      </c>
      <c r="H21" s="22" t="s">
        <v>359</v>
      </c>
    </row>
    <row r="22" spans="2:8" x14ac:dyDescent="0.2">
      <c r="B22" s="25">
        <v>19</v>
      </c>
      <c r="C22" s="24">
        <v>95141025056</v>
      </c>
      <c r="D22" s="24">
        <v>25056</v>
      </c>
      <c r="E22" s="22" t="s">
        <v>357</v>
      </c>
      <c r="F22" s="22" t="s">
        <v>357</v>
      </c>
      <c r="G22" s="22" t="s">
        <v>357</v>
      </c>
      <c r="H22" s="22" t="s">
        <v>359</v>
      </c>
    </row>
    <row r="23" spans="2:8" x14ac:dyDescent="0.2">
      <c r="B23" s="25">
        <v>20</v>
      </c>
      <c r="C23" s="24">
        <v>95141025085</v>
      </c>
      <c r="D23" s="24">
        <v>25085</v>
      </c>
      <c r="E23" s="22" t="s">
        <v>357</v>
      </c>
      <c r="F23" s="22" t="s">
        <v>357</v>
      </c>
      <c r="G23" s="22" t="s">
        <v>357</v>
      </c>
      <c r="H23" s="22" t="s">
        <v>358</v>
      </c>
    </row>
    <row r="24" spans="2:8" x14ac:dyDescent="0.2">
      <c r="B24" s="23" t="s">
        <v>360</v>
      </c>
      <c r="C24" s="23"/>
      <c r="D24" s="23"/>
      <c r="E24" s="23">
        <f>COUNTA(E4:E23)</f>
        <v>17</v>
      </c>
      <c r="F24" s="23">
        <f t="shared" ref="F24:G24" si="0">COUNTA(F4:F23)</f>
        <v>15</v>
      </c>
      <c r="G24" s="23">
        <f t="shared" si="0"/>
        <v>17</v>
      </c>
      <c r="H24" s="22"/>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XFC1412"/>
  <sheetViews>
    <sheetView showGridLines="0" workbookViewId="0">
      <pane ySplit="1" topLeftCell="A810" activePane="bottomLeft" state="frozen"/>
      <selection pane="bottomLeft" activeCell="K376" sqref="K376"/>
    </sheetView>
  </sheetViews>
  <sheetFormatPr baseColWidth="10" defaultColWidth="10.7109375" defaultRowHeight="12.75" x14ac:dyDescent="0.2"/>
  <cols>
    <col min="1" max="1" width="5" style="1" bestFit="1" customWidth="1"/>
    <col min="2" max="2" width="9.28515625" style="1" customWidth="1"/>
    <col min="3" max="3" width="11.28515625" style="1" bestFit="1" customWidth="1"/>
    <col min="4" max="4" width="54.85546875" style="1" customWidth="1"/>
    <col min="5" max="5" width="14.42578125" style="1" bestFit="1" customWidth="1"/>
    <col min="6" max="6" width="12.7109375" style="1" bestFit="1" customWidth="1"/>
    <col min="7" max="7" width="5" style="1" bestFit="1" customWidth="1"/>
    <col min="8" max="8" width="6.42578125" style="1" bestFit="1" customWidth="1"/>
    <col min="9" max="9" width="7.85546875" style="1" bestFit="1" customWidth="1"/>
    <col min="10" max="11" width="7" style="1" bestFit="1" customWidth="1"/>
    <col min="12" max="12" width="6" style="1" bestFit="1" customWidth="1"/>
    <col min="13" max="13" width="10.7109375" style="1" customWidth="1"/>
    <col min="14" max="16382" width="11.42578125" style="1" customWidth="1"/>
    <col min="16383" max="16383" width="10.7109375" style="1" customWidth="1"/>
    <col min="16384" max="16384" width="10.7109375" style="1"/>
  </cols>
  <sheetData>
    <row r="1" spans="1:13" x14ac:dyDescent="0.2">
      <c r="A1" s="26" t="s">
        <v>0</v>
      </c>
      <c r="B1" s="26" t="s">
        <v>1</v>
      </c>
      <c r="C1" s="26" t="s">
        <v>2</v>
      </c>
      <c r="D1" s="26" t="s">
        <v>3</v>
      </c>
      <c r="E1" s="26" t="s">
        <v>361</v>
      </c>
      <c r="F1" s="26" t="s">
        <v>4</v>
      </c>
      <c r="G1" s="26" t="s">
        <v>5</v>
      </c>
      <c r="H1" s="26" t="s">
        <v>6</v>
      </c>
      <c r="I1" s="26" t="s">
        <v>7</v>
      </c>
      <c r="J1" s="26" t="s">
        <v>8</v>
      </c>
      <c r="K1" s="26" t="s">
        <v>9</v>
      </c>
      <c r="L1" s="26" t="s">
        <v>10</v>
      </c>
    </row>
    <row r="2" spans="1:13" x14ac:dyDescent="0.2">
      <c r="A2" s="27">
        <v>1</v>
      </c>
      <c r="B2" s="28">
        <v>3779</v>
      </c>
      <c r="C2" s="28" t="s">
        <v>11</v>
      </c>
      <c r="D2" s="29" t="s">
        <v>12</v>
      </c>
      <c r="E2" s="44" t="s">
        <v>362</v>
      </c>
      <c r="F2" s="31" t="s">
        <v>13</v>
      </c>
      <c r="G2" s="31">
        <v>3831</v>
      </c>
      <c r="H2" s="31" t="s">
        <v>14</v>
      </c>
      <c r="I2" s="31">
        <v>13</v>
      </c>
      <c r="J2" s="32">
        <f t="shared" ref="J2:K2" si="0">+J8</f>
        <v>5</v>
      </c>
      <c r="K2" s="33">
        <f t="shared" si="0"/>
        <v>4</v>
      </c>
      <c r="L2" s="34">
        <f>+I2+J2-K2</f>
        <v>14</v>
      </c>
    </row>
    <row r="3" spans="1:13" x14ac:dyDescent="0.2">
      <c r="A3" s="58" t="s">
        <v>15</v>
      </c>
      <c r="B3" s="58"/>
      <c r="C3" s="59" t="s">
        <v>3</v>
      </c>
      <c r="D3" s="59"/>
      <c r="E3" s="59"/>
      <c r="F3" s="59"/>
      <c r="G3" s="59"/>
      <c r="H3" s="59"/>
      <c r="I3" s="59"/>
      <c r="J3" s="35" t="s">
        <v>8</v>
      </c>
      <c r="K3" s="35" t="s">
        <v>9</v>
      </c>
      <c r="L3" s="35" t="s">
        <v>10</v>
      </c>
    </row>
    <row r="4" spans="1:13" x14ac:dyDescent="0.2">
      <c r="A4" s="52">
        <v>46052</v>
      </c>
      <c r="B4" s="52"/>
      <c r="C4" s="54" t="s">
        <v>277</v>
      </c>
      <c r="D4" s="54"/>
      <c r="E4" s="54"/>
      <c r="F4" s="54"/>
      <c r="G4" s="54"/>
      <c r="H4" s="54"/>
      <c r="I4" s="54"/>
      <c r="J4" s="31">
        <v>5</v>
      </c>
      <c r="K4" s="31"/>
      <c r="L4" s="28"/>
      <c r="M4" s="1">
        <v>5</v>
      </c>
    </row>
    <row r="5" spans="1:13" x14ac:dyDescent="0.2">
      <c r="A5" s="52">
        <v>46064</v>
      </c>
      <c r="B5" s="52"/>
      <c r="C5" s="54" t="s">
        <v>331</v>
      </c>
      <c r="D5" s="54"/>
      <c r="E5" s="54"/>
      <c r="F5" s="54"/>
      <c r="G5" s="54"/>
      <c r="H5" s="54"/>
      <c r="I5" s="54"/>
      <c r="J5" s="31"/>
      <c r="K5" s="31">
        <v>3</v>
      </c>
      <c r="L5" s="28"/>
    </row>
    <row r="6" spans="1:13" x14ac:dyDescent="0.2">
      <c r="A6" s="52">
        <v>46100</v>
      </c>
      <c r="B6" s="52"/>
      <c r="C6" s="54" t="s">
        <v>331</v>
      </c>
      <c r="D6" s="54"/>
      <c r="E6" s="54"/>
      <c r="F6" s="54"/>
      <c r="G6" s="54"/>
      <c r="H6" s="54"/>
      <c r="I6" s="54"/>
      <c r="J6" s="31"/>
      <c r="K6" s="31">
        <v>1</v>
      </c>
      <c r="L6" s="28"/>
    </row>
    <row r="7" spans="1:13" x14ac:dyDescent="0.2">
      <c r="A7" s="52"/>
      <c r="B7" s="52"/>
      <c r="C7" s="54"/>
      <c r="D7" s="54"/>
      <c r="E7" s="54"/>
      <c r="F7" s="54"/>
      <c r="G7" s="54"/>
      <c r="H7" s="54"/>
      <c r="I7" s="54"/>
      <c r="J7" s="31"/>
      <c r="K7" s="31"/>
      <c r="L7" s="28"/>
    </row>
    <row r="8" spans="1:13" x14ac:dyDescent="0.2">
      <c r="A8" s="55" t="s">
        <v>16</v>
      </c>
      <c r="B8" s="56"/>
      <c r="C8" s="56"/>
      <c r="D8" s="56"/>
      <c r="E8" s="56"/>
      <c r="F8" s="56"/>
      <c r="G8" s="56"/>
      <c r="H8" s="56"/>
      <c r="I8" s="57"/>
      <c r="J8" s="36">
        <f t="shared" ref="J8:L8" si="1">SUM(J4:J7)</f>
        <v>5</v>
      </c>
      <c r="K8" s="36">
        <f t="shared" si="1"/>
        <v>4</v>
      </c>
      <c r="L8" s="36">
        <f t="shared" si="1"/>
        <v>0</v>
      </c>
    </row>
    <row r="9" spans="1:13" x14ac:dyDescent="0.2">
      <c r="A9" s="27">
        <v>2</v>
      </c>
      <c r="B9" s="28">
        <v>3779</v>
      </c>
      <c r="C9" s="28" t="s">
        <v>11</v>
      </c>
      <c r="D9" s="29" t="s">
        <v>12</v>
      </c>
      <c r="E9" s="44" t="s">
        <v>362</v>
      </c>
      <c r="F9" s="49" t="s">
        <v>34</v>
      </c>
      <c r="G9" s="31">
        <v>3831</v>
      </c>
      <c r="H9" s="31" t="s">
        <v>14</v>
      </c>
      <c r="I9" s="31">
        <v>1</v>
      </c>
      <c r="J9" s="32">
        <f t="shared" ref="J9:K9" si="2">+J14</f>
        <v>0</v>
      </c>
      <c r="K9" s="33">
        <f t="shared" si="2"/>
        <v>0</v>
      </c>
      <c r="L9" s="34">
        <f>+I9+J9-K9</f>
        <v>1</v>
      </c>
    </row>
    <row r="10" spans="1:13" x14ac:dyDescent="0.2">
      <c r="A10" s="58" t="s">
        <v>15</v>
      </c>
      <c r="B10" s="58"/>
      <c r="C10" s="59" t="s">
        <v>3</v>
      </c>
      <c r="D10" s="59"/>
      <c r="E10" s="59"/>
      <c r="F10" s="59"/>
      <c r="G10" s="59"/>
      <c r="H10" s="59"/>
      <c r="I10" s="59"/>
      <c r="J10" s="35" t="s">
        <v>8</v>
      </c>
      <c r="K10" s="35" t="s">
        <v>9</v>
      </c>
      <c r="L10" s="35" t="s">
        <v>10</v>
      </c>
    </row>
    <row r="11" spans="1:13" x14ac:dyDescent="0.2">
      <c r="A11" s="52"/>
      <c r="B11" s="52"/>
      <c r="C11" s="54"/>
      <c r="D11" s="54"/>
      <c r="E11" s="54"/>
      <c r="F11" s="54"/>
      <c r="G11" s="54"/>
      <c r="H11" s="54"/>
      <c r="I11" s="54"/>
      <c r="J11" s="31"/>
      <c r="K11" s="31"/>
      <c r="L11" s="28"/>
    </row>
    <row r="12" spans="1:13" x14ac:dyDescent="0.2">
      <c r="A12" s="52"/>
      <c r="B12" s="52"/>
      <c r="C12" s="54"/>
      <c r="D12" s="54"/>
      <c r="E12" s="54"/>
      <c r="F12" s="54"/>
      <c r="G12" s="54"/>
      <c r="H12" s="54"/>
      <c r="I12" s="54"/>
      <c r="J12" s="31"/>
      <c r="K12" s="31"/>
      <c r="L12" s="28"/>
    </row>
    <row r="13" spans="1:13" x14ac:dyDescent="0.2">
      <c r="A13" s="52"/>
      <c r="B13" s="52"/>
      <c r="C13" s="54"/>
      <c r="D13" s="54"/>
      <c r="E13" s="54"/>
      <c r="F13" s="54"/>
      <c r="G13" s="54"/>
      <c r="H13" s="54"/>
      <c r="I13" s="54"/>
      <c r="J13" s="31"/>
      <c r="K13" s="31"/>
      <c r="L13" s="28"/>
    </row>
    <row r="14" spans="1:13" x14ac:dyDescent="0.2">
      <c r="A14" s="55" t="s">
        <v>16</v>
      </c>
      <c r="B14" s="56"/>
      <c r="C14" s="56"/>
      <c r="D14" s="56"/>
      <c r="E14" s="56"/>
      <c r="F14" s="56"/>
      <c r="G14" s="56"/>
      <c r="H14" s="56"/>
      <c r="I14" s="57"/>
      <c r="J14" s="36">
        <f>SUM(J11:J13)</f>
        <v>0</v>
      </c>
      <c r="K14" s="36">
        <f>SUM(K11:K13)</f>
        <v>0</v>
      </c>
      <c r="L14" s="36">
        <f>SUM(L11:L13)</f>
        <v>0</v>
      </c>
    </row>
    <row r="15" spans="1:13" x14ac:dyDescent="0.2">
      <c r="A15" s="27">
        <v>3</v>
      </c>
      <c r="B15" s="28">
        <v>3780</v>
      </c>
      <c r="C15" s="28" t="s">
        <v>11</v>
      </c>
      <c r="D15" s="29" t="s">
        <v>17</v>
      </c>
      <c r="E15" s="44" t="s">
        <v>362</v>
      </c>
      <c r="F15" s="31" t="s">
        <v>13</v>
      </c>
      <c r="G15" s="31">
        <v>3831</v>
      </c>
      <c r="H15" s="31" t="s">
        <v>14</v>
      </c>
      <c r="I15" s="31">
        <v>11</v>
      </c>
      <c r="J15" s="32">
        <f t="shared" ref="J15:K15" si="3">+J20</f>
        <v>0</v>
      </c>
      <c r="K15" s="33">
        <f t="shared" si="3"/>
        <v>3</v>
      </c>
      <c r="L15" s="37">
        <f>+I15+J15-K15</f>
        <v>8</v>
      </c>
    </row>
    <row r="16" spans="1:13" x14ac:dyDescent="0.2">
      <c r="A16" s="58" t="s">
        <v>15</v>
      </c>
      <c r="B16" s="58"/>
      <c r="C16" s="59" t="s">
        <v>3</v>
      </c>
      <c r="D16" s="59"/>
      <c r="E16" s="59"/>
      <c r="F16" s="59"/>
      <c r="G16" s="59"/>
      <c r="H16" s="59"/>
      <c r="I16" s="59"/>
      <c r="J16" s="35" t="s">
        <v>8</v>
      </c>
      <c r="K16" s="35" t="s">
        <v>9</v>
      </c>
      <c r="L16" s="35" t="s">
        <v>10</v>
      </c>
    </row>
    <row r="17" spans="1:13" x14ac:dyDescent="0.2">
      <c r="A17" s="52">
        <v>46064</v>
      </c>
      <c r="B17" s="52"/>
      <c r="C17" s="54" t="s">
        <v>331</v>
      </c>
      <c r="D17" s="54"/>
      <c r="E17" s="54"/>
      <c r="F17" s="54"/>
      <c r="G17" s="54"/>
      <c r="H17" s="54"/>
      <c r="I17" s="54"/>
      <c r="J17" s="31"/>
      <c r="K17" s="31">
        <v>2</v>
      </c>
      <c r="L17" s="28"/>
      <c r="M17" s="1">
        <v>4</v>
      </c>
    </row>
    <row r="18" spans="1:13" x14ac:dyDescent="0.2">
      <c r="A18" s="52">
        <v>46100</v>
      </c>
      <c r="B18" s="52"/>
      <c r="C18" s="54" t="s">
        <v>331</v>
      </c>
      <c r="D18" s="54"/>
      <c r="E18" s="54"/>
      <c r="F18" s="54"/>
      <c r="G18" s="54"/>
      <c r="H18" s="54"/>
      <c r="I18" s="54"/>
      <c r="J18" s="31"/>
      <c r="K18" s="31">
        <v>1</v>
      </c>
      <c r="L18" s="28"/>
    </row>
    <row r="19" spans="1:13" x14ac:dyDescent="0.2">
      <c r="A19" s="52"/>
      <c r="B19" s="52"/>
      <c r="C19" s="54"/>
      <c r="D19" s="54"/>
      <c r="E19" s="54"/>
      <c r="F19" s="54"/>
      <c r="G19" s="54"/>
      <c r="H19" s="54"/>
      <c r="I19" s="54"/>
      <c r="J19" s="31"/>
      <c r="K19" s="31"/>
      <c r="L19" s="28"/>
    </row>
    <row r="20" spans="1:13" x14ac:dyDescent="0.2">
      <c r="A20" s="55" t="s">
        <v>16</v>
      </c>
      <c r="B20" s="56"/>
      <c r="C20" s="56"/>
      <c r="D20" s="56"/>
      <c r="E20" s="56"/>
      <c r="F20" s="56"/>
      <c r="G20" s="56"/>
      <c r="H20" s="56"/>
      <c r="I20" s="57"/>
      <c r="J20" s="36">
        <f>SUM(J17:J19)</f>
        <v>0</v>
      </c>
      <c r="K20" s="36">
        <f>SUM(K17:K19)</f>
        <v>3</v>
      </c>
      <c r="L20" s="36">
        <f>SUM(L17:L19)</f>
        <v>0</v>
      </c>
    </row>
    <row r="21" spans="1:13" x14ac:dyDescent="0.2">
      <c r="A21" s="27">
        <v>4</v>
      </c>
      <c r="B21" s="28">
        <v>2409</v>
      </c>
      <c r="C21" s="28" t="s">
        <v>11</v>
      </c>
      <c r="D21" s="29" t="s">
        <v>18</v>
      </c>
      <c r="E21" s="44" t="s">
        <v>362</v>
      </c>
      <c r="F21" s="31" t="s">
        <v>13</v>
      </c>
      <c r="G21" s="31">
        <v>3831</v>
      </c>
      <c r="H21" s="31" t="s">
        <v>14</v>
      </c>
      <c r="I21" s="31"/>
      <c r="J21" s="32">
        <f t="shared" ref="J21:K21" si="4">+J26</f>
        <v>0</v>
      </c>
      <c r="K21" s="33">
        <f t="shared" si="4"/>
        <v>0</v>
      </c>
      <c r="L21" s="38">
        <f>+I21+J21-K21</f>
        <v>0</v>
      </c>
    </row>
    <row r="22" spans="1:13" x14ac:dyDescent="0.2">
      <c r="A22" s="58" t="s">
        <v>15</v>
      </c>
      <c r="B22" s="58"/>
      <c r="C22" s="59" t="s">
        <v>3</v>
      </c>
      <c r="D22" s="59"/>
      <c r="E22" s="59"/>
      <c r="F22" s="59"/>
      <c r="G22" s="59"/>
      <c r="H22" s="59"/>
      <c r="I22" s="59"/>
      <c r="J22" s="35" t="s">
        <v>8</v>
      </c>
      <c r="K22" s="35" t="s">
        <v>9</v>
      </c>
      <c r="L22" s="35" t="s">
        <v>10</v>
      </c>
    </row>
    <row r="23" spans="1:13" x14ac:dyDescent="0.2">
      <c r="A23" s="52"/>
      <c r="B23" s="52"/>
      <c r="C23" s="54"/>
      <c r="D23" s="54"/>
      <c r="E23" s="54"/>
      <c r="F23" s="54"/>
      <c r="G23" s="54"/>
      <c r="H23" s="54"/>
      <c r="I23" s="54"/>
      <c r="J23" s="31"/>
      <c r="K23" s="31"/>
      <c r="L23" s="28"/>
    </row>
    <row r="24" spans="1:13" x14ac:dyDescent="0.2">
      <c r="A24" s="52"/>
      <c r="B24" s="52"/>
      <c r="C24" s="54"/>
      <c r="D24" s="54"/>
      <c r="E24" s="54"/>
      <c r="F24" s="54"/>
      <c r="G24" s="54"/>
      <c r="H24" s="54"/>
      <c r="I24" s="54"/>
      <c r="J24" s="31"/>
      <c r="K24" s="31"/>
      <c r="L24" s="28"/>
    </row>
    <row r="25" spans="1:13" x14ac:dyDescent="0.2">
      <c r="A25" s="52"/>
      <c r="B25" s="52"/>
      <c r="C25" s="54"/>
      <c r="D25" s="54"/>
      <c r="E25" s="54"/>
      <c r="F25" s="54"/>
      <c r="G25" s="54"/>
      <c r="H25" s="54"/>
      <c r="I25" s="54"/>
      <c r="J25" s="31"/>
      <c r="K25" s="31"/>
      <c r="L25" s="28"/>
    </row>
    <row r="26" spans="1:13" x14ac:dyDescent="0.2">
      <c r="A26" s="55" t="s">
        <v>16</v>
      </c>
      <c r="B26" s="56"/>
      <c r="C26" s="56"/>
      <c r="D26" s="56"/>
      <c r="E26" s="56"/>
      <c r="F26" s="56"/>
      <c r="G26" s="56"/>
      <c r="H26" s="56"/>
      <c r="I26" s="57"/>
      <c r="J26" s="36">
        <f t="shared" ref="J26:L26" si="5">SUM(J23:J25)</f>
        <v>0</v>
      </c>
      <c r="K26" s="36">
        <f t="shared" si="5"/>
        <v>0</v>
      </c>
      <c r="L26" s="36">
        <f t="shared" si="5"/>
        <v>0</v>
      </c>
    </row>
    <row r="27" spans="1:13" x14ac:dyDescent="0.2">
      <c r="A27" s="27">
        <v>5</v>
      </c>
      <c r="B27" s="28">
        <v>2409</v>
      </c>
      <c r="C27" s="28" t="s">
        <v>11</v>
      </c>
      <c r="D27" s="29" t="s">
        <v>18</v>
      </c>
      <c r="E27" s="44" t="s">
        <v>362</v>
      </c>
      <c r="F27" s="49" t="s">
        <v>34</v>
      </c>
      <c r="G27" s="31">
        <v>3831</v>
      </c>
      <c r="H27" s="31" t="s">
        <v>14</v>
      </c>
      <c r="I27" s="31"/>
      <c r="J27" s="32">
        <f t="shared" ref="J27:K27" si="6">+J32</f>
        <v>6</v>
      </c>
      <c r="K27" s="33">
        <f t="shared" si="6"/>
        <v>0</v>
      </c>
      <c r="L27" s="38">
        <f>+I27+J27-K27</f>
        <v>6</v>
      </c>
    </row>
    <row r="28" spans="1:13" x14ac:dyDescent="0.2">
      <c r="A28" s="58" t="s">
        <v>15</v>
      </c>
      <c r="B28" s="58"/>
      <c r="C28" s="59" t="s">
        <v>3</v>
      </c>
      <c r="D28" s="59"/>
      <c r="E28" s="59"/>
      <c r="F28" s="59"/>
      <c r="G28" s="59"/>
      <c r="H28" s="59"/>
      <c r="I28" s="59"/>
      <c r="J28" s="35" t="s">
        <v>8</v>
      </c>
      <c r="K28" s="35" t="s">
        <v>9</v>
      </c>
      <c r="L28" s="35" t="s">
        <v>10</v>
      </c>
    </row>
    <row r="29" spans="1:13" x14ac:dyDescent="0.2">
      <c r="A29" s="52">
        <v>46107</v>
      </c>
      <c r="B29" s="52"/>
      <c r="C29" s="53" t="s">
        <v>363</v>
      </c>
      <c r="D29" s="54"/>
      <c r="E29" s="54"/>
      <c r="F29" s="54"/>
      <c r="G29" s="54"/>
      <c r="H29" s="54"/>
      <c r="I29" s="54"/>
      <c r="J29" s="31">
        <v>6</v>
      </c>
      <c r="K29" s="31"/>
      <c r="L29" s="28"/>
    </row>
    <row r="30" spans="1:13" x14ac:dyDescent="0.2">
      <c r="A30" s="52"/>
      <c r="B30" s="52"/>
      <c r="C30" s="54"/>
      <c r="D30" s="54"/>
      <c r="E30" s="54"/>
      <c r="F30" s="54"/>
      <c r="G30" s="54"/>
      <c r="H30" s="54"/>
      <c r="I30" s="54"/>
      <c r="J30" s="31"/>
      <c r="K30" s="31"/>
      <c r="L30" s="28"/>
    </row>
    <row r="31" spans="1:13" x14ac:dyDescent="0.2">
      <c r="A31" s="52"/>
      <c r="B31" s="52"/>
      <c r="C31" s="54"/>
      <c r="D31" s="54"/>
      <c r="E31" s="54"/>
      <c r="F31" s="54"/>
      <c r="G31" s="54"/>
      <c r="H31" s="54"/>
      <c r="I31" s="54"/>
      <c r="J31" s="31"/>
      <c r="K31" s="31"/>
      <c r="L31" s="28"/>
    </row>
    <row r="32" spans="1:13" x14ac:dyDescent="0.2">
      <c r="A32" s="55" t="s">
        <v>16</v>
      </c>
      <c r="B32" s="56"/>
      <c r="C32" s="56"/>
      <c r="D32" s="56"/>
      <c r="E32" s="56"/>
      <c r="F32" s="56"/>
      <c r="G32" s="56"/>
      <c r="H32" s="56"/>
      <c r="I32" s="57"/>
      <c r="J32" s="36">
        <f t="shared" ref="J32:L32" si="7">SUM(J29:J31)</f>
        <v>6</v>
      </c>
      <c r="K32" s="36">
        <f t="shared" si="7"/>
        <v>0</v>
      </c>
      <c r="L32" s="36">
        <f t="shared" si="7"/>
        <v>0</v>
      </c>
    </row>
    <row r="33" spans="1:12" x14ac:dyDescent="0.2">
      <c r="A33" s="27">
        <v>6</v>
      </c>
      <c r="B33" s="28">
        <v>3788</v>
      </c>
      <c r="C33" s="28" t="s">
        <v>11</v>
      </c>
      <c r="D33" s="29" t="s">
        <v>19</v>
      </c>
      <c r="E33" s="44" t="s">
        <v>362</v>
      </c>
      <c r="F33" s="31" t="s">
        <v>13</v>
      </c>
      <c r="G33" s="31">
        <v>3831</v>
      </c>
      <c r="H33" s="31" t="s">
        <v>14</v>
      </c>
      <c r="I33" s="31"/>
      <c r="J33" s="32">
        <f t="shared" ref="J33:K33" si="8">+J38</f>
        <v>14</v>
      </c>
      <c r="K33" s="33">
        <f t="shared" si="8"/>
        <v>5</v>
      </c>
      <c r="L33" s="34">
        <f>+I33+J33-K33</f>
        <v>9</v>
      </c>
    </row>
    <row r="34" spans="1:12" x14ac:dyDescent="0.2">
      <c r="A34" s="58" t="s">
        <v>15</v>
      </c>
      <c r="B34" s="58"/>
      <c r="C34" s="59" t="s">
        <v>3</v>
      </c>
      <c r="D34" s="59"/>
      <c r="E34" s="59"/>
      <c r="F34" s="59"/>
      <c r="G34" s="59"/>
      <c r="H34" s="59"/>
      <c r="I34" s="59"/>
      <c r="J34" s="35" t="s">
        <v>8</v>
      </c>
      <c r="K34" s="35" t="s">
        <v>9</v>
      </c>
      <c r="L34" s="35" t="s">
        <v>10</v>
      </c>
    </row>
    <row r="35" spans="1:12" x14ac:dyDescent="0.2">
      <c r="A35" s="52">
        <v>46052</v>
      </c>
      <c r="B35" s="52"/>
      <c r="C35" s="54" t="s">
        <v>277</v>
      </c>
      <c r="D35" s="54"/>
      <c r="E35" s="54"/>
      <c r="F35" s="54"/>
      <c r="G35" s="54"/>
      <c r="H35" s="54"/>
      <c r="I35" s="54"/>
      <c r="J35" s="31">
        <f>84/6</f>
        <v>14</v>
      </c>
      <c r="K35" s="31"/>
      <c r="L35" s="28"/>
    </row>
    <row r="36" spans="1:12" x14ac:dyDescent="0.2">
      <c r="A36" s="52">
        <v>46064</v>
      </c>
      <c r="B36" s="52"/>
      <c r="C36" s="54" t="s">
        <v>332</v>
      </c>
      <c r="D36" s="54"/>
      <c r="E36" s="54"/>
      <c r="F36" s="54"/>
      <c r="G36" s="54"/>
      <c r="H36" s="54"/>
      <c r="I36" s="54"/>
      <c r="J36" s="31"/>
      <c r="K36" s="31">
        <v>5</v>
      </c>
      <c r="L36" s="28"/>
    </row>
    <row r="37" spans="1:12" x14ac:dyDescent="0.2">
      <c r="A37" s="52"/>
      <c r="B37" s="52"/>
      <c r="C37" s="54"/>
      <c r="D37" s="54"/>
      <c r="E37" s="54"/>
      <c r="F37" s="54"/>
      <c r="G37" s="54"/>
      <c r="H37" s="54"/>
      <c r="I37" s="54"/>
      <c r="J37" s="31"/>
      <c r="K37" s="31"/>
      <c r="L37" s="28"/>
    </row>
    <row r="38" spans="1:12" x14ac:dyDescent="0.2">
      <c r="A38" s="55" t="s">
        <v>16</v>
      </c>
      <c r="B38" s="56"/>
      <c r="C38" s="56"/>
      <c r="D38" s="56"/>
      <c r="E38" s="56"/>
      <c r="F38" s="56"/>
      <c r="G38" s="56"/>
      <c r="H38" s="56"/>
      <c r="I38" s="57"/>
      <c r="J38" s="36">
        <f t="shared" ref="J38:L38" si="9">SUM(J35:J37)</f>
        <v>14</v>
      </c>
      <c r="K38" s="36">
        <f t="shared" si="9"/>
        <v>5</v>
      </c>
      <c r="L38" s="36">
        <f t="shared" si="9"/>
        <v>0</v>
      </c>
    </row>
    <row r="39" spans="1:12" x14ac:dyDescent="0.2">
      <c r="A39" s="27">
        <v>7</v>
      </c>
      <c r="B39" s="28">
        <v>3789</v>
      </c>
      <c r="C39" s="28" t="s">
        <v>11</v>
      </c>
      <c r="D39" s="29" t="s">
        <v>20</v>
      </c>
      <c r="E39" s="44" t="s">
        <v>362</v>
      </c>
      <c r="F39" s="31" t="s">
        <v>13</v>
      </c>
      <c r="G39" s="31">
        <v>3831</v>
      </c>
      <c r="H39" s="31" t="s">
        <v>14</v>
      </c>
      <c r="I39" s="31">
        <v>28</v>
      </c>
      <c r="J39" s="32">
        <f t="shared" ref="J39:K39" si="10">+J44</f>
        <v>0</v>
      </c>
      <c r="K39" s="33">
        <f t="shared" si="10"/>
        <v>3</v>
      </c>
      <c r="L39" s="38">
        <f>+I39+J39-K39</f>
        <v>25</v>
      </c>
    </row>
    <row r="40" spans="1:12" x14ac:dyDescent="0.2">
      <c r="A40" s="58" t="s">
        <v>15</v>
      </c>
      <c r="B40" s="58"/>
      <c r="C40" s="59" t="s">
        <v>3</v>
      </c>
      <c r="D40" s="59"/>
      <c r="E40" s="59"/>
      <c r="F40" s="59"/>
      <c r="G40" s="59"/>
      <c r="H40" s="59"/>
      <c r="I40" s="59"/>
      <c r="J40" s="35" t="s">
        <v>8</v>
      </c>
      <c r="K40" s="35" t="s">
        <v>9</v>
      </c>
      <c r="L40" s="35" t="s">
        <v>10</v>
      </c>
    </row>
    <row r="41" spans="1:12" x14ac:dyDescent="0.2">
      <c r="A41" s="52">
        <v>46088</v>
      </c>
      <c r="B41" s="52"/>
      <c r="C41" s="54" t="s">
        <v>337</v>
      </c>
      <c r="D41" s="54"/>
      <c r="E41" s="54"/>
      <c r="F41" s="54"/>
      <c r="G41" s="54"/>
      <c r="H41" s="54"/>
      <c r="I41" s="54"/>
      <c r="J41" s="31"/>
      <c r="K41" s="31">
        <v>2</v>
      </c>
      <c r="L41" s="28"/>
    </row>
    <row r="42" spans="1:12" x14ac:dyDescent="0.2">
      <c r="A42" s="52">
        <v>46104</v>
      </c>
      <c r="B42" s="52"/>
      <c r="C42" s="54" t="s">
        <v>337</v>
      </c>
      <c r="D42" s="54"/>
      <c r="E42" s="54"/>
      <c r="F42" s="54"/>
      <c r="G42" s="54"/>
      <c r="H42" s="54"/>
      <c r="I42" s="54"/>
      <c r="J42" s="31"/>
      <c r="K42" s="31">
        <v>1</v>
      </c>
      <c r="L42" s="28"/>
    </row>
    <row r="43" spans="1:12" x14ac:dyDescent="0.2">
      <c r="A43" s="52"/>
      <c r="B43" s="52"/>
      <c r="C43" s="54"/>
      <c r="D43" s="54"/>
      <c r="E43" s="54"/>
      <c r="F43" s="54"/>
      <c r="G43" s="54"/>
      <c r="H43" s="54"/>
      <c r="I43" s="54"/>
      <c r="J43" s="31"/>
      <c r="K43" s="31"/>
      <c r="L43" s="28"/>
    </row>
    <row r="44" spans="1:12" x14ac:dyDescent="0.2">
      <c r="A44" s="55" t="s">
        <v>16</v>
      </c>
      <c r="B44" s="56"/>
      <c r="C44" s="56"/>
      <c r="D44" s="56"/>
      <c r="E44" s="56"/>
      <c r="F44" s="56"/>
      <c r="G44" s="56"/>
      <c r="H44" s="56"/>
      <c r="I44" s="57"/>
      <c r="J44" s="36">
        <f t="shared" ref="J44:L44" si="11">SUM(J41:J43)</f>
        <v>0</v>
      </c>
      <c r="K44" s="36">
        <f t="shared" si="11"/>
        <v>3</v>
      </c>
      <c r="L44" s="36">
        <f t="shared" si="11"/>
        <v>0</v>
      </c>
    </row>
    <row r="45" spans="1:12" x14ac:dyDescent="0.2">
      <c r="A45" s="27">
        <v>8</v>
      </c>
      <c r="B45" s="28">
        <v>2810</v>
      </c>
      <c r="C45" s="28" t="s">
        <v>11</v>
      </c>
      <c r="D45" s="29" t="s">
        <v>21</v>
      </c>
      <c r="E45" s="44" t="s">
        <v>362</v>
      </c>
      <c r="F45" s="31" t="s">
        <v>13</v>
      </c>
      <c r="G45" s="31">
        <v>3831</v>
      </c>
      <c r="H45" s="31" t="s">
        <v>14</v>
      </c>
      <c r="I45" s="31">
        <v>41</v>
      </c>
      <c r="J45" s="32">
        <f t="shared" ref="J45:K45" si="12">+J50</f>
        <v>1</v>
      </c>
      <c r="K45" s="33">
        <f t="shared" si="12"/>
        <v>0</v>
      </c>
      <c r="L45" s="34">
        <f>+I45+J45-K45</f>
        <v>42</v>
      </c>
    </row>
    <row r="46" spans="1:12" x14ac:dyDescent="0.2">
      <c r="A46" s="58" t="s">
        <v>15</v>
      </c>
      <c r="B46" s="58"/>
      <c r="C46" s="59" t="s">
        <v>3</v>
      </c>
      <c r="D46" s="59"/>
      <c r="E46" s="59"/>
      <c r="F46" s="59"/>
      <c r="G46" s="59"/>
      <c r="H46" s="59"/>
      <c r="I46" s="59"/>
      <c r="J46" s="35" t="s">
        <v>8</v>
      </c>
      <c r="K46" s="35" t="s">
        <v>9</v>
      </c>
      <c r="L46" s="35" t="s">
        <v>10</v>
      </c>
    </row>
    <row r="47" spans="1:12" x14ac:dyDescent="0.2">
      <c r="A47" s="52">
        <v>46052</v>
      </c>
      <c r="B47" s="52"/>
      <c r="C47" s="54" t="s">
        <v>277</v>
      </c>
      <c r="D47" s="54"/>
      <c r="E47" s="54"/>
      <c r="F47" s="54"/>
      <c r="G47" s="54"/>
      <c r="H47" s="54"/>
      <c r="I47" s="54"/>
      <c r="J47" s="31">
        <v>1</v>
      </c>
      <c r="K47" s="31"/>
      <c r="L47" s="28"/>
    </row>
    <row r="48" spans="1:12" x14ac:dyDescent="0.2">
      <c r="A48" s="52"/>
      <c r="B48" s="52"/>
      <c r="C48" s="54"/>
      <c r="D48" s="54"/>
      <c r="E48" s="54"/>
      <c r="F48" s="54"/>
      <c r="G48" s="54"/>
      <c r="H48" s="54"/>
      <c r="I48" s="54"/>
      <c r="J48" s="31"/>
      <c r="K48" s="31"/>
      <c r="L48" s="28"/>
    </row>
    <row r="49" spans="1:12" x14ac:dyDescent="0.2">
      <c r="A49" s="52"/>
      <c r="B49" s="52"/>
      <c r="C49" s="54"/>
      <c r="D49" s="54"/>
      <c r="E49" s="54"/>
      <c r="F49" s="54"/>
      <c r="G49" s="54"/>
      <c r="H49" s="54"/>
      <c r="I49" s="54"/>
      <c r="J49" s="31"/>
      <c r="K49" s="31"/>
      <c r="L49" s="28"/>
    </row>
    <row r="50" spans="1:12" x14ac:dyDescent="0.2">
      <c r="A50" s="55" t="s">
        <v>16</v>
      </c>
      <c r="B50" s="56"/>
      <c r="C50" s="56"/>
      <c r="D50" s="56"/>
      <c r="E50" s="56"/>
      <c r="F50" s="56"/>
      <c r="G50" s="56"/>
      <c r="H50" s="56"/>
      <c r="I50" s="57"/>
      <c r="J50" s="36">
        <f t="shared" ref="J50:L50" si="13">SUM(J47:J49)</f>
        <v>1</v>
      </c>
      <c r="K50" s="36">
        <f t="shared" si="13"/>
        <v>0</v>
      </c>
      <c r="L50" s="36">
        <f t="shared" si="13"/>
        <v>0</v>
      </c>
    </row>
    <row r="51" spans="1:12" x14ac:dyDescent="0.2">
      <c r="A51" s="27">
        <v>9</v>
      </c>
      <c r="B51" s="28">
        <v>3774</v>
      </c>
      <c r="C51" s="28" t="s">
        <v>11</v>
      </c>
      <c r="D51" s="29" t="s">
        <v>22</v>
      </c>
      <c r="E51" s="44" t="s">
        <v>362</v>
      </c>
      <c r="F51" s="31" t="s">
        <v>13</v>
      </c>
      <c r="G51" s="31">
        <v>3831</v>
      </c>
      <c r="H51" s="31" t="s">
        <v>14</v>
      </c>
      <c r="I51" s="31"/>
      <c r="J51" s="32">
        <f t="shared" ref="J51:K51" si="14">+J56</f>
        <v>0</v>
      </c>
      <c r="K51" s="33">
        <f t="shared" si="14"/>
        <v>0</v>
      </c>
      <c r="L51" s="38">
        <f>+I51+J51-K51</f>
        <v>0</v>
      </c>
    </row>
    <row r="52" spans="1:12" x14ac:dyDescent="0.2">
      <c r="A52" s="58" t="s">
        <v>15</v>
      </c>
      <c r="B52" s="58"/>
      <c r="C52" s="59" t="s">
        <v>3</v>
      </c>
      <c r="D52" s="59"/>
      <c r="E52" s="59"/>
      <c r="F52" s="59"/>
      <c r="G52" s="59"/>
      <c r="H52" s="59"/>
      <c r="I52" s="59"/>
      <c r="J52" s="35" t="s">
        <v>8</v>
      </c>
      <c r="K52" s="35" t="s">
        <v>9</v>
      </c>
      <c r="L52" s="35" t="s">
        <v>10</v>
      </c>
    </row>
    <row r="53" spans="1:12" x14ac:dyDescent="0.2">
      <c r="A53" s="52"/>
      <c r="B53" s="52"/>
      <c r="C53" s="54"/>
      <c r="D53" s="54"/>
      <c r="E53" s="54"/>
      <c r="F53" s="54"/>
      <c r="G53" s="54"/>
      <c r="H53" s="54"/>
      <c r="I53" s="54"/>
      <c r="J53" s="31"/>
      <c r="K53" s="31"/>
      <c r="L53" s="28"/>
    </row>
    <row r="54" spans="1:12" x14ac:dyDescent="0.2">
      <c r="A54" s="52"/>
      <c r="B54" s="52"/>
      <c r="C54" s="54"/>
      <c r="D54" s="54"/>
      <c r="E54" s="54"/>
      <c r="F54" s="54"/>
      <c r="G54" s="54"/>
      <c r="H54" s="54"/>
      <c r="I54" s="54"/>
      <c r="J54" s="31"/>
      <c r="K54" s="31"/>
      <c r="L54" s="28"/>
    </row>
    <row r="55" spans="1:12" x14ac:dyDescent="0.2">
      <c r="A55" s="52"/>
      <c r="B55" s="52"/>
      <c r="C55" s="54"/>
      <c r="D55" s="54"/>
      <c r="E55" s="54"/>
      <c r="F55" s="54"/>
      <c r="G55" s="54"/>
      <c r="H55" s="54"/>
      <c r="I55" s="54"/>
      <c r="J55" s="31"/>
      <c r="K55" s="31"/>
      <c r="L55" s="28"/>
    </row>
    <row r="56" spans="1:12" x14ac:dyDescent="0.2">
      <c r="A56" s="55" t="s">
        <v>16</v>
      </c>
      <c r="B56" s="56"/>
      <c r="C56" s="56"/>
      <c r="D56" s="56"/>
      <c r="E56" s="56"/>
      <c r="F56" s="56"/>
      <c r="G56" s="56"/>
      <c r="H56" s="56"/>
      <c r="I56" s="57"/>
      <c r="J56" s="36">
        <f t="shared" ref="J56:L56" si="15">SUM(J53:J55)</f>
        <v>0</v>
      </c>
      <c r="K56" s="36">
        <f t="shared" si="15"/>
        <v>0</v>
      </c>
      <c r="L56" s="36">
        <f t="shared" si="15"/>
        <v>0</v>
      </c>
    </row>
    <row r="57" spans="1:12" x14ac:dyDescent="0.2">
      <c r="A57" s="27">
        <v>10</v>
      </c>
      <c r="B57" s="28">
        <v>3785</v>
      </c>
      <c r="C57" s="28" t="s">
        <v>11</v>
      </c>
      <c r="D57" s="29" t="s">
        <v>23</v>
      </c>
      <c r="E57" s="44" t="s">
        <v>362</v>
      </c>
      <c r="F57" s="31" t="s">
        <v>13</v>
      </c>
      <c r="G57" s="31">
        <v>3831</v>
      </c>
      <c r="H57" s="31" t="s">
        <v>14</v>
      </c>
      <c r="I57" s="31"/>
      <c r="J57" s="32">
        <f t="shared" ref="J57:K57" si="16">+J66</f>
        <v>30</v>
      </c>
      <c r="K57" s="33">
        <f t="shared" si="16"/>
        <v>16</v>
      </c>
      <c r="L57" s="34">
        <f>+I57+J57-K57</f>
        <v>14</v>
      </c>
    </row>
    <row r="58" spans="1:12" x14ac:dyDescent="0.2">
      <c r="A58" s="58" t="s">
        <v>15</v>
      </c>
      <c r="B58" s="58"/>
      <c r="C58" s="59" t="s">
        <v>3</v>
      </c>
      <c r="D58" s="59"/>
      <c r="E58" s="59"/>
      <c r="F58" s="59"/>
      <c r="G58" s="59"/>
      <c r="H58" s="59"/>
      <c r="I58" s="59"/>
      <c r="J58" s="35" t="s">
        <v>8</v>
      </c>
      <c r="K58" s="35" t="s">
        <v>9</v>
      </c>
      <c r="L58" s="35" t="s">
        <v>10</v>
      </c>
    </row>
    <row r="59" spans="1:12" x14ac:dyDescent="0.2">
      <c r="A59" s="52">
        <v>46052</v>
      </c>
      <c r="B59" s="52"/>
      <c r="C59" s="54" t="s">
        <v>277</v>
      </c>
      <c r="D59" s="54"/>
      <c r="E59" s="54"/>
      <c r="F59" s="54"/>
      <c r="G59" s="54"/>
      <c r="H59" s="54"/>
      <c r="I59" s="54"/>
      <c r="J59" s="31">
        <v>30</v>
      </c>
      <c r="K59" s="31"/>
      <c r="L59" s="28"/>
    </row>
    <row r="60" spans="1:12" x14ac:dyDescent="0.2">
      <c r="A60" s="52">
        <v>46072</v>
      </c>
      <c r="B60" s="52"/>
      <c r="C60" s="54" t="s">
        <v>333</v>
      </c>
      <c r="D60" s="54"/>
      <c r="E60" s="54"/>
      <c r="F60" s="54"/>
      <c r="G60" s="54"/>
      <c r="H60" s="54"/>
      <c r="I60" s="54"/>
      <c r="J60" s="31"/>
      <c r="K60" s="31">
        <v>7</v>
      </c>
      <c r="L60" s="28"/>
    </row>
    <row r="61" spans="1:12" x14ac:dyDescent="0.2">
      <c r="A61" s="52">
        <v>46074</v>
      </c>
      <c r="B61" s="52"/>
      <c r="C61" s="54" t="s">
        <v>333</v>
      </c>
      <c r="D61" s="54"/>
      <c r="E61" s="54"/>
      <c r="F61" s="54"/>
      <c r="G61" s="54"/>
      <c r="H61" s="54"/>
      <c r="I61" s="54"/>
      <c r="J61" s="31"/>
      <c r="K61" s="31">
        <v>4</v>
      </c>
      <c r="L61" s="28"/>
    </row>
    <row r="62" spans="1:12" x14ac:dyDescent="0.2">
      <c r="A62" s="52">
        <v>46074</v>
      </c>
      <c r="B62" s="52"/>
      <c r="C62" s="54" t="s">
        <v>337</v>
      </c>
      <c r="D62" s="54"/>
      <c r="E62" s="54"/>
      <c r="F62" s="54"/>
      <c r="G62" s="54"/>
      <c r="H62" s="54"/>
      <c r="I62" s="54"/>
      <c r="J62" s="31"/>
      <c r="K62" s="31">
        <v>2</v>
      </c>
      <c r="L62" s="28"/>
    </row>
    <row r="63" spans="1:12" x14ac:dyDescent="0.2">
      <c r="A63" s="52">
        <v>46099</v>
      </c>
      <c r="B63" s="52"/>
      <c r="C63" s="54" t="s">
        <v>351</v>
      </c>
      <c r="D63" s="54"/>
      <c r="E63" s="54"/>
      <c r="F63" s="54"/>
      <c r="G63" s="54"/>
      <c r="H63" s="54"/>
      <c r="I63" s="54"/>
      <c r="J63" s="31"/>
      <c r="K63" s="31">
        <v>1</v>
      </c>
      <c r="L63" s="28"/>
    </row>
    <row r="64" spans="1:12" x14ac:dyDescent="0.2">
      <c r="A64" s="52">
        <v>46100</v>
      </c>
      <c r="B64" s="52"/>
      <c r="C64" s="54" t="s">
        <v>351</v>
      </c>
      <c r="D64" s="54"/>
      <c r="E64" s="54"/>
      <c r="F64" s="54"/>
      <c r="G64" s="54"/>
      <c r="H64" s="54"/>
      <c r="I64" s="54"/>
      <c r="J64" s="31"/>
      <c r="K64" s="31">
        <v>2</v>
      </c>
      <c r="L64" s="28"/>
    </row>
    <row r="65" spans="1:12" x14ac:dyDescent="0.2">
      <c r="A65" s="52"/>
      <c r="B65" s="52"/>
      <c r="C65" s="54"/>
      <c r="D65" s="54"/>
      <c r="E65" s="54"/>
      <c r="F65" s="54"/>
      <c r="G65" s="54"/>
      <c r="H65" s="54"/>
      <c r="I65" s="54"/>
      <c r="J65" s="31"/>
      <c r="K65" s="31"/>
      <c r="L65" s="28"/>
    </row>
    <row r="66" spans="1:12" x14ac:dyDescent="0.2">
      <c r="A66" s="55" t="s">
        <v>16</v>
      </c>
      <c r="B66" s="56"/>
      <c r="C66" s="56"/>
      <c r="D66" s="56"/>
      <c r="E66" s="56"/>
      <c r="F66" s="56"/>
      <c r="G66" s="56"/>
      <c r="H66" s="56"/>
      <c r="I66" s="57"/>
      <c r="J66" s="36">
        <f>SUM(J59:J65)</f>
        <v>30</v>
      </c>
      <c r="K66" s="36">
        <f>SUM(K59:K65)</f>
        <v>16</v>
      </c>
      <c r="L66" s="36">
        <f>SUM(L59:L65)</f>
        <v>0</v>
      </c>
    </row>
    <row r="67" spans="1:12" x14ac:dyDescent="0.2">
      <c r="A67" s="27">
        <v>11</v>
      </c>
      <c r="B67" s="28">
        <v>2999</v>
      </c>
      <c r="C67" s="28" t="s">
        <v>11</v>
      </c>
      <c r="D67" s="29" t="s">
        <v>24</v>
      </c>
      <c r="E67" s="44" t="s">
        <v>362</v>
      </c>
      <c r="F67" s="31" t="s">
        <v>13</v>
      </c>
      <c r="G67" s="31">
        <v>3831</v>
      </c>
      <c r="H67" s="31" t="s">
        <v>14</v>
      </c>
      <c r="I67" s="31"/>
      <c r="J67" s="32">
        <f t="shared" ref="J67:K67" si="17">+J72</f>
        <v>0</v>
      </c>
      <c r="K67" s="33">
        <f t="shared" si="17"/>
        <v>0</v>
      </c>
      <c r="L67" s="38">
        <f>+I67+J67-K67</f>
        <v>0</v>
      </c>
    </row>
    <row r="68" spans="1:12" x14ac:dyDescent="0.2">
      <c r="A68" s="58" t="s">
        <v>15</v>
      </c>
      <c r="B68" s="58"/>
      <c r="C68" s="59" t="s">
        <v>3</v>
      </c>
      <c r="D68" s="59"/>
      <c r="E68" s="59"/>
      <c r="F68" s="59"/>
      <c r="G68" s="59"/>
      <c r="H68" s="59"/>
      <c r="I68" s="59"/>
      <c r="J68" s="35" t="s">
        <v>8</v>
      </c>
      <c r="K68" s="35" t="s">
        <v>9</v>
      </c>
      <c r="L68" s="35" t="s">
        <v>10</v>
      </c>
    </row>
    <row r="69" spans="1:12" x14ac:dyDescent="0.2">
      <c r="A69" s="52"/>
      <c r="B69" s="52"/>
      <c r="C69" s="54"/>
      <c r="D69" s="54"/>
      <c r="E69" s="54"/>
      <c r="F69" s="54"/>
      <c r="G69" s="54"/>
      <c r="H69" s="54"/>
      <c r="I69" s="54"/>
      <c r="J69" s="31"/>
      <c r="K69" s="31"/>
      <c r="L69" s="28"/>
    </row>
    <row r="70" spans="1:12" x14ac:dyDescent="0.2">
      <c r="A70" s="52"/>
      <c r="B70" s="52"/>
      <c r="C70" s="54"/>
      <c r="D70" s="54"/>
      <c r="E70" s="54"/>
      <c r="F70" s="54"/>
      <c r="G70" s="54"/>
      <c r="H70" s="54"/>
      <c r="I70" s="54"/>
      <c r="J70" s="31"/>
      <c r="K70" s="31"/>
      <c r="L70" s="28"/>
    </row>
    <row r="71" spans="1:12" x14ac:dyDescent="0.2">
      <c r="A71" s="52"/>
      <c r="B71" s="52"/>
      <c r="C71" s="54"/>
      <c r="D71" s="54"/>
      <c r="E71" s="54"/>
      <c r="F71" s="54"/>
      <c r="G71" s="54"/>
      <c r="H71" s="54"/>
      <c r="I71" s="54"/>
      <c r="J71" s="31"/>
      <c r="K71" s="31"/>
      <c r="L71" s="28"/>
    </row>
    <row r="72" spans="1:12" x14ac:dyDescent="0.2">
      <c r="A72" s="55" t="s">
        <v>16</v>
      </c>
      <c r="B72" s="56"/>
      <c r="C72" s="56"/>
      <c r="D72" s="56"/>
      <c r="E72" s="56"/>
      <c r="F72" s="56"/>
      <c r="G72" s="56"/>
      <c r="H72" s="56"/>
      <c r="I72" s="57"/>
      <c r="J72" s="36">
        <f t="shared" ref="J72:L72" si="18">SUM(J69:J71)</f>
        <v>0</v>
      </c>
      <c r="K72" s="36">
        <f t="shared" si="18"/>
        <v>0</v>
      </c>
      <c r="L72" s="36">
        <f t="shared" si="18"/>
        <v>0</v>
      </c>
    </row>
    <row r="73" spans="1:12" x14ac:dyDescent="0.2">
      <c r="A73" s="27">
        <v>12</v>
      </c>
      <c r="B73" s="28">
        <v>3698</v>
      </c>
      <c r="C73" s="28" t="s">
        <v>11</v>
      </c>
      <c r="D73" s="29" t="s">
        <v>25</v>
      </c>
      <c r="E73" s="44" t="s">
        <v>362</v>
      </c>
      <c r="F73" s="31" t="s">
        <v>13</v>
      </c>
      <c r="G73" s="31">
        <v>3831</v>
      </c>
      <c r="H73" s="31" t="s">
        <v>14</v>
      </c>
      <c r="I73" s="31"/>
      <c r="J73" s="32">
        <f t="shared" ref="J73:K73" si="19">+J78</f>
        <v>0</v>
      </c>
      <c r="K73" s="33">
        <f t="shared" si="19"/>
        <v>0</v>
      </c>
      <c r="L73" s="37">
        <f>+I73+J73-K73</f>
        <v>0</v>
      </c>
    </row>
    <row r="74" spans="1:12" x14ac:dyDescent="0.2">
      <c r="A74" s="58" t="s">
        <v>15</v>
      </c>
      <c r="B74" s="58"/>
      <c r="C74" s="59" t="s">
        <v>3</v>
      </c>
      <c r="D74" s="59"/>
      <c r="E74" s="59"/>
      <c r="F74" s="59"/>
      <c r="G74" s="59"/>
      <c r="H74" s="59"/>
      <c r="I74" s="59"/>
      <c r="J74" s="35" t="s">
        <v>8</v>
      </c>
      <c r="K74" s="35" t="s">
        <v>9</v>
      </c>
      <c r="L74" s="35" t="s">
        <v>10</v>
      </c>
    </row>
    <row r="75" spans="1:12" x14ac:dyDescent="0.2">
      <c r="A75" s="52"/>
      <c r="B75" s="52"/>
      <c r="C75" s="54"/>
      <c r="D75" s="54"/>
      <c r="E75" s="54"/>
      <c r="F75" s="54"/>
      <c r="G75" s="54"/>
      <c r="H75" s="54"/>
      <c r="I75" s="54"/>
      <c r="J75" s="31"/>
      <c r="K75" s="31"/>
      <c r="L75" s="28"/>
    </row>
    <row r="76" spans="1:12" x14ac:dyDescent="0.2">
      <c r="A76" s="52"/>
      <c r="B76" s="52"/>
      <c r="C76" s="54"/>
      <c r="D76" s="54"/>
      <c r="E76" s="54"/>
      <c r="F76" s="54"/>
      <c r="G76" s="54"/>
      <c r="H76" s="54"/>
      <c r="I76" s="54"/>
      <c r="J76" s="31"/>
      <c r="K76" s="31"/>
      <c r="L76" s="28"/>
    </row>
    <row r="77" spans="1:12" x14ac:dyDescent="0.2">
      <c r="A77" s="52"/>
      <c r="B77" s="52"/>
      <c r="C77" s="54"/>
      <c r="D77" s="54"/>
      <c r="E77" s="54"/>
      <c r="F77" s="54"/>
      <c r="G77" s="54"/>
      <c r="H77" s="54"/>
      <c r="I77" s="54"/>
      <c r="J77" s="31"/>
      <c r="K77" s="31"/>
      <c r="L77" s="28"/>
    </row>
    <row r="78" spans="1:12" x14ac:dyDescent="0.2">
      <c r="A78" s="55" t="s">
        <v>16</v>
      </c>
      <c r="B78" s="56"/>
      <c r="C78" s="56"/>
      <c r="D78" s="56"/>
      <c r="E78" s="56"/>
      <c r="F78" s="56"/>
      <c r="G78" s="56"/>
      <c r="H78" s="56"/>
      <c r="I78" s="57"/>
      <c r="J78" s="36">
        <f t="shared" ref="J78:L78" si="20">SUM(J75:J77)</f>
        <v>0</v>
      </c>
      <c r="K78" s="36">
        <f t="shared" si="20"/>
        <v>0</v>
      </c>
      <c r="L78" s="36">
        <f t="shared" si="20"/>
        <v>0</v>
      </c>
    </row>
    <row r="79" spans="1:12" x14ac:dyDescent="0.2">
      <c r="A79" s="27">
        <v>13</v>
      </c>
      <c r="B79" s="28">
        <v>3790</v>
      </c>
      <c r="C79" s="28" t="s">
        <v>11</v>
      </c>
      <c r="D79" s="29" t="s">
        <v>26</v>
      </c>
      <c r="E79" s="44" t="s">
        <v>362</v>
      </c>
      <c r="F79" s="31" t="s">
        <v>13</v>
      </c>
      <c r="G79" s="31">
        <v>3831</v>
      </c>
      <c r="H79" s="31" t="s">
        <v>14</v>
      </c>
      <c r="I79" s="31"/>
      <c r="J79" s="32">
        <f t="shared" ref="J79:K79" si="21">+J84</f>
        <v>0</v>
      </c>
      <c r="K79" s="33">
        <f t="shared" si="21"/>
        <v>0</v>
      </c>
      <c r="L79" s="38">
        <f>+I79+J79-K79</f>
        <v>0</v>
      </c>
    </row>
    <row r="80" spans="1:12" x14ac:dyDescent="0.2">
      <c r="A80" s="58" t="s">
        <v>15</v>
      </c>
      <c r="B80" s="58"/>
      <c r="C80" s="59" t="s">
        <v>3</v>
      </c>
      <c r="D80" s="59"/>
      <c r="E80" s="59"/>
      <c r="F80" s="59"/>
      <c r="G80" s="59"/>
      <c r="H80" s="59"/>
      <c r="I80" s="59"/>
      <c r="J80" s="35" t="s">
        <v>8</v>
      </c>
      <c r="K80" s="35" t="s">
        <v>9</v>
      </c>
      <c r="L80" s="35" t="s">
        <v>10</v>
      </c>
    </row>
    <row r="81" spans="1:12" x14ac:dyDescent="0.2">
      <c r="A81" s="52"/>
      <c r="B81" s="52"/>
      <c r="C81" s="54"/>
      <c r="D81" s="54"/>
      <c r="E81" s="54"/>
      <c r="F81" s="54"/>
      <c r="G81" s="54"/>
      <c r="H81" s="54"/>
      <c r="I81" s="54"/>
      <c r="J81" s="31"/>
      <c r="K81" s="31"/>
      <c r="L81" s="28"/>
    </row>
    <row r="82" spans="1:12" x14ac:dyDescent="0.2">
      <c r="A82" s="52"/>
      <c r="B82" s="52"/>
      <c r="C82" s="54"/>
      <c r="D82" s="54"/>
      <c r="E82" s="54"/>
      <c r="F82" s="54"/>
      <c r="G82" s="54"/>
      <c r="H82" s="54"/>
      <c r="I82" s="54"/>
      <c r="J82" s="31"/>
      <c r="K82" s="31"/>
      <c r="L82" s="28"/>
    </row>
    <row r="83" spans="1:12" x14ac:dyDescent="0.2">
      <c r="A83" s="52"/>
      <c r="B83" s="52"/>
      <c r="C83" s="54"/>
      <c r="D83" s="54"/>
      <c r="E83" s="54"/>
      <c r="F83" s="54"/>
      <c r="G83" s="54"/>
      <c r="H83" s="54"/>
      <c r="I83" s="54"/>
      <c r="J83" s="31"/>
      <c r="K83" s="31"/>
      <c r="L83" s="28"/>
    </row>
    <row r="84" spans="1:12" x14ac:dyDescent="0.2">
      <c r="A84" s="55" t="s">
        <v>16</v>
      </c>
      <c r="B84" s="56"/>
      <c r="C84" s="56"/>
      <c r="D84" s="56"/>
      <c r="E84" s="56"/>
      <c r="F84" s="56"/>
      <c r="G84" s="56"/>
      <c r="H84" s="56"/>
      <c r="I84" s="57"/>
      <c r="J84" s="36">
        <f t="shared" ref="J84:L84" si="22">SUM(J81:J83)</f>
        <v>0</v>
      </c>
      <c r="K84" s="36">
        <f t="shared" si="22"/>
        <v>0</v>
      </c>
      <c r="L84" s="36">
        <f t="shared" si="22"/>
        <v>0</v>
      </c>
    </row>
    <row r="85" spans="1:12" x14ac:dyDescent="0.2">
      <c r="A85" s="27">
        <v>14</v>
      </c>
      <c r="B85" s="28">
        <v>3784</v>
      </c>
      <c r="C85" s="28" t="s">
        <v>11</v>
      </c>
      <c r="D85" s="29" t="s">
        <v>27</v>
      </c>
      <c r="E85" s="44" t="s">
        <v>362</v>
      </c>
      <c r="F85" s="31" t="s">
        <v>13</v>
      </c>
      <c r="G85" s="31">
        <v>3831</v>
      </c>
      <c r="H85" s="31" t="s">
        <v>14</v>
      </c>
      <c r="I85" s="31"/>
      <c r="J85" s="32">
        <f t="shared" ref="J85:K85" si="23">+J90</f>
        <v>10</v>
      </c>
      <c r="K85" s="33">
        <f t="shared" si="23"/>
        <v>0</v>
      </c>
      <c r="L85" s="37">
        <f>+I85+J85-K85</f>
        <v>10</v>
      </c>
    </row>
    <row r="86" spans="1:12" x14ac:dyDescent="0.2">
      <c r="A86" s="58" t="s">
        <v>15</v>
      </c>
      <c r="B86" s="58"/>
      <c r="C86" s="59" t="s">
        <v>3</v>
      </c>
      <c r="D86" s="59"/>
      <c r="E86" s="59"/>
      <c r="F86" s="59"/>
      <c r="G86" s="59"/>
      <c r="H86" s="59"/>
      <c r="I86" s="59"/>
      <c r="J86" s="35" t="s">
        <v>8</v>
      </c>
      <c r="K86" s="35" t="s">
        <v>9</v>
      </c>
      <c r="L86" s="35" t="s">
        <v>10</v>
      </c>
    </row>
    <row r="87" spans="1:12" x14ac:dyDescent="0.2">
      <c r="A87" s="52">
        <v>46052</v>
      </c>
      <c r="B87" s="52"/>
      <c r="C87" s="54" t="s">
        <v>277</v>
      </c>
      <c r="D87" s="54"/>
      <c r="E87" s="54"/>
      <c r="F87" s="54"/>
      <c r="G87" s="54"/>
      <c r="H87" s="54"/>
      <c r="I87" s="54"/>
      <c r="J87" s="31">
        <v>10</v>
      </c>
      <c r="K87" s="31"/>
      <c r="L87" s="28"/>
    </row>
    <row r="88" spans="1:12" x14ac:dyDescent="0.2">
      <c r="A88" s="52"/>
      <c r="B88" s="52"/>
      <c r="C88" s="54"/>
      <c r="D88" s="54"/>
      <c r="E88" s="54"/>
      <c r="F88" s="54"/>
      <c r="G88" s="54"/>
      <c r="H88" s="54"/>
      <c r="I88" s="54"/>
      <c r="J88" s="31"/>
      <c r="K88" s="31"/>
      <c r="L88" s="28"/>
    </row>
    <row r="89" spans="1:12" x14ac:dyDescent="0.2">
      <c r="A89" s="52"/>
      <c r="B89" s="52"/>
      <c r="C89" s="54"/>
      <c r="D89" s="54"/>
      <c r="E89" s="54"/>
      <c r="F89" s="54"/>
      <c r="G89" s="54"/>
      <c r="H89" s="54"/>
      <c r="I89" s="54"/>
      <c r="J89" s="31"/>
      <c r="K89" s="31"/>
      <c r="L89" s="28"/>
    </row>
    <row r="90" spans="1:12" x14ac:dyDescent="0.2">
      <c r="A90" s="55" t="s">
        <v>16</v>
      </c>
      <c r="B90" s="56"/>
      <c r="C90" s="56"/>
      <c r="D90" s="56"/>
      <c r="E90" s="56"/>
      <c r="F90" s="56"/>
      <c r="G90" s="56"/>
      <c r="H90" s="56"/>
      <c r="I90" s="57"/>
      <c r="J90" s="36">
        <f t="shared" ref="J90:L90" si="24">SUM(J87:J89)</f>
        <v>10</v>
      </c>
      <c r="K90" s="36">
        <f t="shared" si="24"/>
        <v>0</v>
      </c>
      <c r="L90" s="36">
        <f t="shared" si="24"/>
        <v>0</v>
      </c>
    </row>
    <row r="91" spans="1:12" x14ac:dyDescent="0.2">
      <c r="A91" s="27">
        <v>15</v>
      </c>
      <c r="B91" s="28">
        <v>4131</v>
      </c>
      <c r="C91" s="28" t="s">
        <v>11</v>
      </c>
      <c r="D91" s="29" t="s">
        <v>28</v>
      </c>
      <c r="E91" s="44" t="s">
        <v>362</v>
      </c>
      <c r="F91" s="31" t="s">
        <v>13</v>
      </c>
      <c r="G91" s="31">
        <v>3831</v>
      </c>
      <c r="H91" s="31" t="s">
        <v>14</v>
      </c>
      <c r="I91" s="31"/>
      <c r="J91" s="32">
        <f t="shared" ref="J91:K91" si="25">+J96</f>
        <v>0</v>
      </c>
      <c r="K91" s="33">
        <f t="shared" si="25"/>
        <v>0</v>
      </c>
      <c r="L91" s="38">
        <f>+I91+J91-K91</f>
        <v>0</v>
      </c>
    </row>
    <row r="92" spans="1:12" x14ac:dyDescent="0.2">
      <c r="A92" s="58" t="s">
        <v>15</v>
      </c>
      <c r="B92" s="58"/>
      <c r="C92" s="59" t="s">
        <v>3</v>
      </c>
      <c r="D92" s="59"/>
      <c r="E92" s="59"/>
      <c r="F92" s="59"/>
      <c r="G92" s="59"/>
      <c r="H92" s="59"/>
      <c r="I92" s="59"/>
      <c r="J92" s="35" t="s">
        <v>8</v>
      </c>
      <c r="K92" s="35" t="s">
        <v>9</v>
      </c>
      <c r="L92" s="35" t="s">
        <v>10</v>
      </c>
    </row>
    <row r="93" spans="1:12" x14ac:dyDescent="0.2">
      <c r="A93" s="52"/>
      <c r="B93" s="52"/>
      <c r="C93" s="54"/>
      <c r="D93" s="54"/>
      <c r="E93" s="54"/>
      <c r="F93" s="54"/>
      <c r="G93" s="54"/>
      <c r="H93" s="54"/>
      <c r="I93" s="54"/>
      <c r="J93" s="31"/>
      <c r="K93" s="31"/>
      <c r="L93" s="28"/>
    </row>
    <row r="94" spans="1:12" x14ac:dyDescent="0.2">
      <c r="A94" s="52"/>
      <c r="B94" s="52"/>
      <c r="C94" s="54"/>
      <c r="D94" s="54"/>
      <c r="E94" s="54"/>
      <c r="F94" s="54"/>
      <c r="G94" s="54"/>
      <c r="H94" s="54"/>
      <c r="I94" s="54"/>
      <c r="J94" s="31"/>
      <c r="K94" s="31"/>
      <c r="L94" s="28"/>
    </row>
    <row r="95" spans="1:12" x14ac:dyDescent="0.2">
      <c r="A95" s="52"/>
      <c r="B95" s="52"/>
      <c r="C95" s="54"/>
      <c r="D95" s="54"/>
      <c r="E95" s="54"/>
      <c r="F95" s="54"/>
      <c r="G95" s="54"/>
      <c r="H95" s="54"/>
      <c r="I95" s="54"/>
      <c r="J95" s="31"/>
      <c r="K95" s="31"/>
      <c r="L95" s="28"/>
    </row>
    <row r="96" spans="1:12" x14ac:dyDescent="0.2">
      <c r="A96" s="55" t="s">
        <v>16</v>
      </c>
      <c r="B96" s="56"/>
      <c r="C96" s="56"/>
      <c r="D96" s="56"/>
      <c r="E96" s="56"/>
      <c r="F96" s="56"/>
      <c r="G96" s="56"/>
      <c r="H96" s="56"/>
      <c r="I96" s="57"/>
      <c r="J96" s="36">
        <f t="shared" ref="J96:L96" si="26">SUM(J93:J95)</f>
        <v>0</v>
      </c>
      <c r="K96" s="36">
        <f t="shared" si="26"/>
        <v>0</v>
      </c>
      <c r="L96" s="36">
        <f t="shared" si="26"/>
        <v>0</v>
      </c>
    </row>
    <row r="97" spans="1:12" x14ac:dyDescent="0.2">
      <c r="A97" s="27">
        <v>16</v>
      </c>
      <c r="B97" s="28">
        <v>3783</v>
      </c>
      <c r="C97" s="28" t="s">
        <v>11</v>
      </c>
      <c r="D97" s="29" t="s">
        <v>29</v>
      </c>
      <c r="E97" s="44" t="s">
        <v>362</v>
      </c>
      <c r="F97" s="31" t="s">
        <v>13</v>
      </c>
      <c r="G97" s="31">
        <v>3831</v>
      </c>
      <c r="H97" s="31" t="s">
        <v>14</v>
      </c>
      <c r="I97" s="31">
        <v>1</v>
      </c>
      <c r="J97" s="32">
        <f t="shared" ref="J97:K97" si="27">+J103</f>
        <v>8</v>
      </c>
      <c r="K97" s="33">
        <f t="shared" si="27"/>
        <v>2</v>
      </c>
      <c r="L97" s="34">
        <f>+I97+J97-K97</f>
        <v>7</v>
      </c>
    </row>
    <row r="98" spans="1:12" x14ac:dyDescent="0.2">
      <c r="A98" s="58" t="s">
        <v>15</v>
      </c>
      <c r="B98" s="58"/>
      <c r="C98" s="59" t="s">
        <v>3</v>
      </c>
      <c r="D98" s="59"/>
      <c r="E98" s="59"/>
      <c r="F98" s="59"/>
      <c r="G98" s="59"/>
      <c r="H98" s="59"/>
      <c r="I98" s="59"/>
      <c r="J98" s="35" t="s">
        <v>8</v>
      </c>
      <c r="K98" s="35" t="s">
        <v>9</v>
      </c>
      <c r="L98" s="35" t="s">
        <v>10</v>
      </c>
    </row>
    <row r="99" spans="1:12" x14ac:dyDescent="0.2">
      <c r="A99" s="52">
        <v>46052</v>
      </c>
      <c r="B99" s="52"/>
      <c r="C99" s="54" t="s">
        <v>277</v>
      </c>
      <c r="D99" s="54"/>
      <c r="E99" s="54"/>
      <c r="F99" s="54"/>
      <c r="G99" s="54"/>
      <c r="H99" s="54"/>
      <c r="I99" s="54"/>
      <c r="J99" s="31">
        <f>48/6</f>
        <v>8</v>
      </c>
      <c r="K99" s="31"/>
      <c r="L99" s="28"/>
    </row>
    <row r="100" spans="1:12" x14ac:dyDescent="0.2">
      <c r="A100" s="52">
        <v>46108</v>
      </c>
      <c r="B100" s="52"/>
      <c r="C100" s="53" t="s">
        <v>409</v>
      </c>
      <c r="D100" s="54"/>
      <c r="E100" s="54"/>
      <c r="F100" s="54"/>
      <c r="G100" s="54"/>
      <c r="H100" s="54"/>
      <c r="I100" s="54"/>
      <c r="J100" s="31"/>
      <c r="K100" s="31">
        <v>1</v>
      </c>
      <c r="L100" s="28"/>
    </row>
    <row r="101" spans="1:12" x14ac:dyDescent="0.2">
      <c r="A101" s="52">
        <v>46120</v>
      </c>
      <c r="B101" s="52"/>
      <c r="C101" s="53" t="s">
        <v>409</v>
      </c>
      <c r="D101" s="54"/>
      <c r="E101" s="54"/>
      <c r="F101" s="54"/>
      <c r="G101" s="54"/>
      <c r="H101" s="54"/>
      <c r="I101" s="54"/>
      <c r="J101" s="31"/>
      <c r="K101" s="31">
        <v>1</v>
      </c>
      <c r="L101" s="28"/>
    </row>
    <row r="102" spans="1:12" x14ac:dyDescent="0.2">
      <c r="A102" s="52"/>
      <c r="B102" s="52"/>
      <c r="C102" s="54"/>
      <c r="D102" s="54"/>
      <c r="E102" s="54"/>
      <c r="F102" s="54"/>
      <c r="G102" s="54"/>
      <c r="H102" s="54"/>
      <c r="I102" s="54"/>
      <c r="J102" s="31"/>
      <c r="K102" s="31"/>
      <c r="L102" s="28"/>
    </row>
    <row r="103" spans="1:12" x14ac:dyDescent="0.2">
      <c r="A103" s="55" t="s">
        <v>16</v>
      </c>
      <c r="B103" s="56"/>
      <c r="C103" s="56"/>
      <c r="D103" s="56"/>
      <c r="E103" s="56"/>
      <c r="F103" s="56"/>
      <c r="G103" s="56"/>
      <c r="H103" s="56"/>
      <c r="I103" s="57"/>
      <c r="J103" s="36">
        <f>SUM(J99:J102)</f>
        <v>8</v>
      </c>
      <c r="K103" s="36">
        <f>SUM(K99:K102)</f>
        <v>2</v>
      </c>
      <c r="L103" s="36">
        <f>SUM(L99:L102)</f>
        <v>0</v>
      </c>
    </row>
    <row r="104" spans="1:12" x14ac:dyDescent="0.2">
      <c r="A104" s="27">
        <v>17</v>
      </c>
      <c r="B104" s="28">
        <v>3897</v>
      </c>
      <c r="C104" s="28" t="s">
        <v>11</v>
      </c>
      <c r="D104" s="29" t="s">
        <v>30</v>
      </c>
      <c r="E104" s="44" t="s">
        <v>362</v>
      </c>
      <c r="F104" s="31" t="s">
        <v>13</v>
      </c>
      <c r="G104" s="31">
        <v>3831</v>
      </c>
      <c r="H104" s="31" t="s">
        <v>14</v>
      </c>
      <c r="I104" s="31">
        <v>0</v>
      </c>
      <c r="J104" s="32">
        <f t="shared" ref="J104:K104" si="28">+J109</f>
        <v>2</v>
      </c>
      <c r="K104" s="33">
        <f t="shared" si="28"/>
        <v>0</v>
      </c>
      <c r="L104" s="34">
        <f>+I104+J104-K104</f>
        <v>2</v>
      </c>
    </row>
    <row r="105" spans="1:12" x14ac:dyDescent="0.2">
      <c r="A105" s="58" t="s">
        <v>15</v>
      </c>
      <c r="B105" s="58"/>
      <c r="C105" s="59" t="s">
        <v>3</v>
      </c>
      <c r="D105" s="59"/>
      <c r="E105" s="59"/>
      <c r="F105" s="59"/>
      <c r="G105" s="59"/>
      <c r="H105" s="59"/>
      <c r="I105" s="59"/>
      <c r="J105" s="35" t="s">
        <v>8</v>
      </c>
      <c r="K105" s="35" t="s">
        <v>9</v>
      </c>
      <c r="L105" s="35" t="s">
        <v>10</v>
      </c>
    </row>
    <row r="106" spans="1:12" x14ac:dyDescent="0.2">
      <c r="A106" s="52">
        <v>46052</v>
      </c>
      <c r="B106" s="52"/>
      <c r="C106" s="54" t="s">
        <v>277</v>
      </c>
      <c r="D106" s="54"/>
      <c r="E106" s="54"/>
      <c r="F106" s="54"/>
      <c r="G106" s="54"/>
      <c r="H106" s="54"/>
      <c r="I106" s="54"/>
      <c r="J106" s="31">
        <v>2</v>
      </c>
      <c r="K106" s="31"/>
      <c r="L106" s="28"/>
    </row>
    <row r="107" spans="1:12" x14ac:dyDescent="0.2">
      <c r="A107" s="52"/>
      <c r="B107" s="52"/>
      <c r="C107" s="54"/>
      <c r="D107" s="54"/>
      <c r="E107" s="54"/>
      <c r="F107" s="54"/>
      <c r="G107" s="54"/>
      <c r="H107" s="54"/>
      <c r="I107" s="54"/>
      <c r="J107" s="31"/>
      <c r="K107" s="31"/>
      <c r="L107" s="28"/>
    </row>
    <row r="108" spans="1:12" x14ac:dyDescent="0.2">
      <c r="A108" s="52"/>
      <c r="B108" s="52"/>
      <c r="C108" s="54"/>
      <c r="D108" s="54"/>
      <c r="E108" s="54"/>
      <c r="F108" s="54"/>
      <c r="G108" s="54"/>
      <c r="H108" s="54"/>
      <c r="I108" s="54"/>
      <c r="J108" s="31"/>
      <c r="K108" s="31"/>
      <c r="L108" s="28"/>
    </row>
    <row r="109" spans="1:12" x14ac:dyDescent="0.2">
      <c r="A109" s="55" t="s">
        <v>16</v>
      </c>
      <c r="B109" s="56"/>
      <c r="C109" s="56"/>
      <c r="D109" s="56"/>
      <c r="E109" s="56"/>
      <c r="F109" s="56"/>
      <c r="G109" s="56"/>
      <c r="H109" s="56"/>
      <c r="I109" s="57"/>
      <c r="J109" s="36">
        <f>SUM(J106:J108)</f>
        <v>2</v>
      </c>
      <c r="K109" s="36">
        <f>SUM(K106:K108)</f>
        <v>0</v>
      </c>
      <c r="L109" s="36">
        <f>SUM(L106:L108)</f>
        <v>0</v>
      </c>
    </row>
    <row r="110" spans="1:12" x14ac:dyDescent="0.2">
      <c r="A110" s="27">
        <v>18</v>
      </c>
      <c r="B110" s="28">
        <v>4130</v>
      </c>
      <c r="C110" s="28" t="s">
        <v>11</v>
      </c>
      <c r="D110" s="29" t="s">
        <v>31</v>
      </c>
      <c r="E110" s="44" t="s">
        <v>362</v>
      </c>
      <c r="F110" s="31" t="s">
        <v>13</v>
      </c>
      <c r="G110" s="31">
        <v>3831</v>
      </c>
      <c r="H110" s="31" t="s">
        <v>14</v>
      </c>
      <c r="I110" s="31"/>
      <c r="J110" s="32">
        <f t="shared" ref="J110:K110" si="29">+J115</f>
        <v>0</v>
      </c>
      <c r="K110" s="33">
        <f t="shared" si="29"/>
        <v>0</v>
      </c>
      <c r="L110" s="37">
        <f>+I110+J110-K110</f>
        <v>0</v>
      </c>
    </row>
    <row r="111" spans="1:12" x14ac:dyDescent="0.2">
      <c r="A111" s="58" t="s">
        <v>15</v>
      </c>
      <c r="B111" s="58"/>
      <c r="C111" s="59" t="s">
        <v>3</v>
      </c>
      <c r="D111" s="59"/>
      <c r="E111" s="59"/>
      <c r="F111" s="59"/>
      <c r="G111" s="59"/>
      <c r="H111" s="59"/>
      <c r="I111" s="59"/>
      <c r="J111" s="35" t="s">
        <v>8</v>
      </c>
      <c r="K111" s="35" t="s">
        <v>9</v>
      </c>
      <c r="L111" s="35" t="s">
        <v>10</v>
      </c>
    </row>
    <row r="112" spans="1:12" x14ac:dyDescent="0.2">
      <c r="A112" s="52"/>
      <c r="B112" s="52"/>
      <c r="C112" s="54"/>
      <c r="D112" s="54"/>
      <c r="E112" s="54"/>
      <c r="F112" s="54"/>
      <c r="G112" s="54"/>
      <c r="H112" s="54"/>
      <c r="I112" s="54"/>
      <c r="J112" s="31"/>
      <c r="K112" s="31"/>
      <c r="L112" s="28"/>
    </row>
    <row r="113" spans="1:12" x14ac:dyDescent="0.2">
      <c r="A113" s="52"/>
      <c r="B113" s="52"/>
      <c r="C113" s="54"/>
      <c r="D113" s="54"/>
      <c r="E113" s="54"/>
      <c r="F113" s="54"/>
      <c r="G113" s="54"/>
      <c r="H113" s="54"/>
      <c r="I113" s="54"/>
      <c r="J113" s="31"/>
      <c r="K113" s="31"/>
      <c r="L113" s="28"/>
    </row>
    <row r="114" spans="1:12" x14ac:dyDescent="0.2">
      <c r="A114" s="52"/>
      <c r="B114" s="52"/>
      <c r="C114" s="54"/>
      <c r="D114" s="54"/>
      <c r="E114" s="54"/>
      <c r="F114" s="54"/>
      <c r="G114" s="54"/>
      <c r="H114" s="54"/>
      <c r="I114" s="54"/>
      <c r="J114" s="31"/>
      <c r="K114" s="31"/>
      <c r="L114" s="28"/>
    </row>
    <row r="115" spans="1:12" x14ac:dyDescent="0.2">
      <c r="A115" s="55" t="s">
        <v>16</v>
      </c>
      <c r="B115" s="56"/>
      <c r="C115" s="56"/>
      <c r="D115" s="56"/>
      <c r="E115" s="56"/>
      <c r="F115" s="56"/>
      <c r="G115" s="56"/>
      <c r="H115" s="56"/>
      <c r="I115" s="57"/>
      <c r="J115" s="36">
        <f t="shared" ref="J115:L115" si="30">SUM(J112:J114)</f>
        <v>0</v>
      </c>
      <c r="K115" s="36">
        <f t="shared" si="30"/>
        <v>0</v>
      </c>
      <c r="L115" s="36">
        <f t="shared" si="30"/>
        <v>0</v>
      </c>
    </row>
    <row r="116" spans="1:12" x14ac:dyDescent="0.2">
      <c r="A116" s="27">
        <v>19</v>
      </c>
      <c r="B116" s="28">
        <v>3862</v>
      </c>
      <c r="C116" s="28" t="s">
        <v>11</v>
      </c>
      <c r="D116" s="29" t="s">
        <v>32</v>
      </c>
      <c r="E116" s="44" t="s">
        <v>362</v>
      </c>
      <c r="F116" s="31" t="s">
        <v>13</v>
      </c>
      <c r="G116" s="31">
        <v>744</v>
      </c>
      <c r="H116" s="31" t="s">
        <v>14</v>
      </c>
      <c r="I116" s="31">
        <v>8</v>
      </c>
      <c r="J116" s="32">
        <f t="shared" ref="J116:K116" si="31">+J121</f>
        <v>5</v>
      </c>
      <c r="K116" s="33">
        <f t="shared" si="31"/>
        <v>1</v>
      </c>
      <c r="L116" s="34">
        <f>+I116+J116-K116</f>
        <v>12</v>
      </c>
    </row>
    <row r="117" spans="1:12" x14ac:dyDescent="0.2">
      <c r="A117" s="58" t="s">
        <v>15</v>
      </c>
      <c r="B117" s="58"/>
      <c r="C117" s="59" t="s">
        <v>3</v>
      </c>
      <c r="D117" s="59"/>
      <c r="E117" s="59"/>
      <c r="F117" s="59"/>
      <c r="G117" s="59"/>
      <c r="H117" s="59"/>
      <c r="I117" s="59"/>
      <c r="J117" s="35" t="s">
        <v>8</v>
      </c>
      <c r="K117" s="35" t="s">
        <v>9</v>
      </c>
      <c r="L117" s="35" t="s">
        <v>10</v>
      </c>
    </row>
    <row r="118" spans="1:12" x14ac:dyDescent="0.2">
      <c r="A118" s="52">
        <v>46052</v>
      </c>
      <c r="B118" s="52"/>
      <c r="C118" s="54" t="s">
        <v>277</v>
      </c>
      <c r="D118" s="54"/>
      <c r="E118" s="54"/>
      <c r="F118" s="54"/>
      <c r="G118" s="54"/>
      <c r="H118" s="54"/>
      <c r="I118" s="54"/>
      <c r="J118" s="31">
        <v>5</v>
      </c>
      <c r="K118" s="31"/>
      <c r="L118" s="28"/>
    </row>
    <row r="119" spans="1:12" x14ac:dyDescent="0.2">
      <c r="A119" s="52">
        <v>46096</v>
      </c>
      <c r="B119" s="52"/>
      <c r="C119" s="53" t="s">
        <v>335</v>
      </c>
      <c r="D119" s="54"/>
      <c r="E119" s="54"/>
      <c r="F119" s="54"/>
      <c r="G119" s="54"/>
      <c r="H119" s="54"/>
      <c r="I119" s="54"/>
      <c r="J119" s="31"/>
      <c r="K119" s="31">
        <v>1</v>
      </c>
      <c r="L119" s="28"/>
    </row>
    <row r="120" spans="1:12" x14ac:dyDescent="0.2">
      <c r="A120" s="52"/>
      <c r="B120" s="52"/>
      <c r="C120" s="54"/>
      <c r="D120" s="54"/>
      <c r="E120" s="54"/>
      <c r="F120" s="54"/>
      <c r="G120" s="54"/>
      <c r="H120" s="54"/>
      <c r="I120" s="54"/>
      <c r="J120" s="31"/>
      <c r="K120" s="31"/>
      <c r="L120" s="28"/>
    </row>
    <row r="121" spans="1:12" x14ac:dyDescent="0.2">
      <c r="A121" s="55" t="s">
        <v>16</v>
      </c>
      <c r="B121" s="56"/>
      <c r="C121" s="56"/>
      <c r="D121" s="56"/>
      <c r="E121" s="56"/>
      <c r="F121" s="56"/>
      <c r="G121" s="56"/>
      <c r="H121" s="56"/>
      <c r="I121" s="57"/>
      <c r="J121" s="36">
        <f t="shared" ref="J121:L121" si="32">SUM(J118:J120)</f>
        <v>5</v>
      </c>
      <c r="K121" s="36">
        <f t="shared" si="32"/>
        <v>1</v>
      </c>
      <c r="L121" s="36">
        <f t="shared" si="32"/>
        <v>0</v>
      </c>
    </row>
    <row r="122" spans="1:12" x14ac:dyDescent="0.2">
      <c r="A122" s="27">
        <v>20</v>
      </c>
      <c r="B122" s="28">
        <v>3862</v>
      </c>
      <c r="C122" s="28" t="s">
        <v>11</v>
      </c>
      <c r="D122" s="29" t="s">
        <v>32</v>
      </c>
      <c r="E122" s="44" t="s">
        <v>362</v>
      </c>
      <c r="F122" s="49" t="s">
        <v>34</v>
      </c>
      <c r="G122" s="31">
        <v>744</v>
      </c>
      <c r="H122" s="31" t="s">
        <v>14</v>
      </c>
      <c r="I122" s="31">
        <v>1</v>
      </c>
      <c r="J122" s="32">
        <f t="shared" ref="J122:K122" si="33">+J127</f>
        <v>0</v>
      </c>
      <c r="K122" s="33">
        <f t="shared" si="33"/>
        <v>0</v>
      </c>
      <c r="L122" s="34">
        <f>+I122+J122-K122</f>
        <v>1</v>
      </c>
    </row>
    <row r="123" spans="1:12" x14ac:dyDescent="0.2">
      <c r="A123" s="58" t="s">
        <v>15</v>
      </c>
      <c r="B123" s="58"/>
      <c r="C123" s="59" t="s">
        <v>3</v>
      </c>
      <c r="D123" s="59"/>
      <c r="E123" s="59"/>
      <c r="F123" s="59"/>
      <c r="G123" s="59"/>
      <c r="H123" s="59"/>
      <c r="I123" s="59"/>
      <c r="J123" s="35" t="s">
        <v>8</v>
      </c>
      <c r="K123" s="35" t="s">
        <v>9</v>
      </c>
      <c r="L123" s="35" t="s">
        <v>10</v>
      </c>
    </row>
    <row r="124" spans="1:12" x14ac:dyDescent="0.2">
      <c r="A124" s="52"/>
      <c r="B124" s="52"/>
      <c r="C124" s="54"/>
      <c r="D124" s="54"/>
      <c r="E124" s="54"/>
      <c r="F124" s="54"/>
      <c r="G124" s="54"/>
      <c r="H124" s="54"/>
      <c r="I124" s="54"/>
      <c r="J124" s="31"/>
      <c r="K124" s="31"/>
      <c r="L124" s="28"/>
    </row>
    <row r="125" spans="1:12" x14ac:dyDescent="0.2">
      <c r="A125" s="52"/>
      <c r="B125" s="52"/>
      <c r="C125" s="54"/>
      <c r="D125" s="54"/>
      <c r="E125" s="54"/>
      <c r="F125" s="54"/>
      <c r="G125" s="54"/>
      <c r="H125" s="54"/>
      <c r="I125" s="54"/>
      <c r="J125" s="31"/>
      <c r="K125" s="31"/>
      <c r="L125" s="28"/>
    </row>
    <row r="126" spans="1:12" x14ac:dyDescent="0.2">
      <c r="A126" s="52"/>
      <c r="B126" s="52"/>
      <c r="C126" s="54"/>
      <c r="D126" s="54"/>
      <c r="E126" s="54"/>
      <c r="F126" s="54"/>
      <c r="G126" s="54"/>
      <c r="H126" s="54"/>
      <c r="I126" s="54"/>
      <c r="J126" s="31"/>
      <c r="K126" s="31"/>
      <c r="L126" s="28"/>
    </row>
    <row r="127" spans="1:12" x14ac:dyDescent="0.2">
      <c r="A127" s="55" t="s">
        <v>16</v>
      </c>
      <c r="B127" s="56"/>
      <c r="C127" s="56"/>
      <c r="D127" s="56"/>
      <c r="E127" s="56"/>
      <c r="F127" s="56"/>
      <c r="G127" s="56"/>
      <c r="H127" s="56"/>
      <c r="I127" s="57"/>
      <c r="J127" s="36">
        <f t="shared" ref="J127:L127" si="34">SUM(J124:J126)</f>
        <v>0</v>
      </c>
      <c r="K127" s="36">
        <f t="shared" si="34"/>
        <v>0</v>
      </c>
      <c r="L127" s="36">
        <f t="shared" si="34"/>
        <v>0</v>
      </c>
    </row>
    <row r="128" spans="1:12" x14ac:dyDescent="0.2">
      <c r="A128" s="27">
        <v>21</v>
      </c>
      <c r="B128" s="28">
        <v>3861</v>
      </c>
      <c r="C128" s="28" t="s">
        <v>11</v>
      </c>
      <c r="D128" s="29" t="s">
        <v>33</v>
      </c>
      <c r="E128" s="44" t="s">
        <v>362</v>
      </c>
      <c r="F128" s="31" t="s">
        <v>13</v>
      </c>
      <c r="G128" s="31">
        <v>744</v>
      </c>
      <c r="H128" s="31" t="s">
        <v>14</v>
      </c>
      <c r="I128" s="31">
        <v>8</v>
      </c>
      <c r="J128" s="32">
        <f t="shared" ref="J128:K128" si="35">+J133</f>
        <v>4</v>
      </c>
      <c r="K128" s="33">
        <f t="shared" si="35"/>
        <v>1</v>
      </c>
      <c r="L128" s="34">
        <f>+I128+J128-K128</f>
        <v>11</v>
      </c>
    </row>
    <row r="129" spans="1:12" x14ac:dyDescent="0.2">
      <c r="A129" s="58" t="s">
        <v>15</v>
      </c>
      <c r="B129" s="58"/>
      <c r="C129" s="59" t="s">
        <v>3</v>
      </c>
      <c r="D129" s="59"/>
      <c r="E129" s="59"/>
      <c r="F129" s="59"/>
      <c r="G129" s="59"/>
      <c r="H129" s="59"/>
      <c r="I129" s="59"/>
      <c r="J129" s="35" t="s">
        <v>8</v>
      </c>
      <c r="K129" s="35" t="s">
        <v>9</v>
      </c>
      <c r="L129" s="35" t="s">
        <v>10</v>
      </c>
    </row>
    <row r="130" spans="1:12" x14ac:dyDescent="0.2">
      <c r="A130" s="52">
        <v>46052</v>
      </c>
      <c r="B130" s="52"/>
      <c r="C130" s="54" t="s">
        <v>277</v>
      </c>
      <c r="D130" s="54"/>
      <c r="E130" s="54"/>
      <c r="F130" s="54"/>
      <c r="G130" s="54"/>
      <c r="H130" s="54"/>
      <c r="I130" s="54"/>
      <c r="J130" s="31">
        <v>4</v>
      </c>
      <c r="K130" s="31"/>
      <c r="L130" s="28"/>
    </row>
    <row r="131" spans="1:12" x14ac:dyDescent="0.2">
      <c r="A131" s="52">
        <v>46096</v>
      </c>
      <c r="B131" s="52"/>
      <c r="C131" s="53" t="s">
        <v>335</v>
      </c>
      <c r="D131" s="54"/>
      <c r="E131" s="54"/>
      <c r="F131" s="54"/>
      <c r="G131" s="54"/>
      <c r="H131" s="54"/>
      <c r="I131" s="54"/>
      <c r="J131" s="31"/>
      <c r="K131" s="31">
        <v>1</v>
      </c>
      <c r="L131" s="28"/>
    </row>
    <row r="132" spans="1:12" x14ac:dyDescent="0.2">
      <c r="A132" s="52"/>
      <c r="B132" s="52"/>
      <c r="C132" s="54"/>
      <c r="D132" s="54"/>
      <c r="E132" s="54"/>
      <c r="F132" s="54"/>
      <c r="G132" s="54"/>
      <c r="H132" s="54"/>
      <c r="I132" s="54"/>
      <c r="J132" s="31"/>
      <c r="K132" s="31"/>
      <c r="L132" s="28"/>
    </row>
    <row r="133" spans="1:12" x14ac:dyDescent="0.2">
      <c r="A133" s="55" t="s">
        <v>16</v>
      </c>
      <c r="B133" s="56"/>
      <c r="C133" s="56"/>
      <c r="D133" s="56"/>
      <c r="E133" s="56"/>
      <c r="F133" s="56"/>
      <c r="G133" s="56"/>
      <c r="H133" s="56"/>
      <c r="I133" s="57"/>
      <c r="J133" s="36">
        <f t="shared" ref="J133:L133" si="36">SUM(J130:J132)</f>
        <v>4</v>
      </c>
      <c r="K133" s="36">
        <f t="shared" si="36"/>
        <v>1</v>
      </c>
      <c r="L133" s="36">
        <f t="shared" si="36"/>
        <v>0</v>
      </c>
    </row>
    <row r="134" spans="1:12" x14ac:dyDescent="0.2">
      <c r="A134" s="27">
        <v>22</v>
      </c>
      <c r="B134" s="28">
        <v>3861</v>
      </c>
      <c r="C134" s="28" t="s">
        <v>11</v>
      </c>
      <c r="D134" s="29" t="s">
        <v>33</v>
      </c>
      <c r="E134" s="44" t="s">
        <v>362</v>
      </c>
      <c r="F134" s="31" t="s">
        <v>34</v>
      </c>
      <c r="G134" s="31">
        <v>744</v>
      </c>
      <c r="H134" s="31" t="s">
        <v>14</v>
      </c>
      <c r="I134" s="31">
        <v>1</v>
      </c>
      <c r="J134" s="32">
        <f t="shared" ref="J134:K134" si="37">+J139</f>
        <v>0</v>
      </c>
      <c r="K134" s="33">
        <f t="shared" si="37"/>
        <v>1</v>
      </c>
      <c r="L134" s="38">
        <f>+I134+J134-K134</f>
        <v>0</v>
      </c>
    </row>
    <row r="135" spans="1:12" x14ac:dyDescent="0.2">
      <c r="A135" s="58" t="s">
        <v>15</v>
      </c>
      <c r="B135" s="58"/>
      <c r="C135" s="59" t="s">
        <v>3</v>
      </c>
      <c r="D135" s="59"/>
      <c r="E135" s="59"/>
      <c r="F135" s="59"/>
      <c r="G135" s="59"/>
      <c r="H135" s="59"/>
      <c r="I135" s="59"/>
      <c r="J135" s="35" t="s">
        <v>8</v>
      </c>
      <c r="K135" s="35" t="s">
        <v>9</v>
      </c>
      <c r="L135" s="35" t="s">
        <v>10</v>
      </c>
    </row>
    <row r="136" spans="1:12" x14ac:dyDescent="0.2">
      <c r="A136" s="52">
        <v>46084</v>
      </c>
      <c r="B136" s="52"/>
      <c r="C136" s="54" t="s">
        <v>335</v>
      </c>
      <c r="D136" s="54"/>
      <c r="E136" s="54"/>
      <c r="F136" s="54"/>
      <c r="G136" s="54"/>
      <c r="H136" s="54"/>
      <c r="I136" s="54"/>
      <c r="J136" s="31"/>
      <c r="K136" s="31">
        <v>1</v>
      </c>
      <c r="L136" s="28"/>
    </row>
    <row r="137" spans="1:12" x14ac:dyDescent="0.2">
      <c r="A137" s="52"/>
      <c r="B137" s="52"/>
      <c r="C137" s="54"/>
      <c r="D137" s="54"/>
      <c r="E137" s="54"/>
      <c r="F137" s="54"/>
      <c r="G137" s="54"/>
      <c r="H137" s="54"/>
      <c r="I137" s="54"/>
      <c r="J137" s="31"/>
      <c r="K137" s="31"/>
      <c r="L137" s="28"/>
    </row>
    <row r="138" spans="1:12" x14ac:dyDescent="0.2">
      <c r="A138" s="52"/>
      <c r="B138" s="52"/>
      <c r="C138" s="54"/>
      <c r="D138" s="54"/>
      <c r="E138" s="54"/>
      <c r="F138" s="54"/>
      <c r="G138" s="54"/>
      <c r="H138" s="54"/>
      <c r="I138" s="54"/>
      <c r="J138" s="31"/>
      <c r="K138" s="31"/>
      <c r="L138" s="28"/>
    </row>
    <row r="139" spans="1:12" x14ac:dyDescent="0.2">
      <c r="A139" s="55" t="s">
        <v>16</v>
      </c>
      <c r="B139" s="56"/>
      <c r="C139" s="56"/>
      <c r="D139" s="56"/>
      <c r="E139" s="56"/>
      <c r="F139" s="56"/>
      <c r="G139" s="56"/>
      <c r="H139" s="56"/>
      <c r="I139" s="57"/>
      <c r="J139" s="36">
        <f t="shared" ref="J139:L139" si="38">SUM(J136:J138)</f>
        <v>0</v>
      </c>
      <c r="K139" s="36">
        <f t="shared" si="38"/>
        <v>1</v>
      </c>
      <c r="L139" s="36">
        <f t="shared" si="38"/>
        <v>0</v>
      </c>
    </row>
    <row r="140" spans="1:12" x14ac:dyDescent="0.2">
      <c r="A140" s="27">
        <v>23</v>
      </c>
      <c r="B140" s="28">
        <v>4748</v>
      </c>
      <c r="C140" s="28" t="s">
        <v>11</v>
      </c>
      <c r="D140" s="29" t="s">
        <v>35</v>
      </c>
      <c r="E140" s="44" t="s">
        <v>362</v>
      </c>
      <c r="F140" s="31" t="s">
        <v>13</v>
      </c>
      <c r="G140" s="31">
        <v>744</v>
      </c>
      <c r="H140" s="31" t="s">
        <v>14</v>
      </c>
      <c r="I140" s="31"/>
      <c r="J140" s="32">
        <f t="shared" ref="J140:K140" si="39">+J145</f>
        <v>0</v>
      </c>
      <c r="K140" s="33">
        <f t="shared" si="39"/>
        <v>0</v>
      </c>
      <c r="L140" s="37">
        <f>+I140+J140-K140</f>
        <v>0</v>
      </c>
    </row>
    <row r="141" spans="1:12" x14ac:dyDescent="0.2">
      <c r="A141" s="58" t="s">
        <v>15</v>
      </c>
      <c r="B141" s="58"/>
      <c r="C141" s="59" t="s">
        <v>3</v>
      </c>
      <c r="D141" s="59"/>
      <c r="E141" s="59"/>
      <c r="F141" s="59"/>
      <c r="G141" s="59"/>
      <c r="H141" s="59"/>
      <c r="I141" s="59"/>
      <c r="J141" s="35" t="s">
        <v>8</v>
      </c>
      <c r="K141" s="35" t="s">
        <v>9</v>
      </c>
      <c r="L141" s="35" t="s">
        <v>10</v>
      </c>
    </row>
    <row r="142" spans="1:12" x14ac:dyDescent="0.2">
      <c r="A142" s="52"/>
      <c r="B142" s="52"/>
      <c r="C142" s="54"/>
      <c r="D142" s="54"/>
      <c r="E142" s="54"/>
      <c r="F142" s="54"/>
      <c r="G142" s="54"/>
      <c r="H142" s="54"/>
      <c r="I142" s="54"/>
      <c r="J142" s="31"/>
      <c r="K142" s="31"/>
      <c r="L142" s="28"/>
    </row>
    <row r="143" spans="1:12" x14ac:dyDescent="0.2">
      <c r="A143" s="52"/>
      <c r="B143" s="52"/>
      <c r="C143" s="54"/>
      <c r="D143" s="54"/>
      <c r="E143" s="54"/>
      <c r="F143" s="54"/>
      <c r="G143" s="54"/>
      <c r="H143" s="54"/>
      <c r="I143" s="54"/>
      <c r="J143" s="31"/>
      <c r="K143" s="31"/>
      <c r="L143" s="28"/>
    </row>
    <row r="144" spans="1:12" x14ac:dyDescent="0.2">
      <c r="A144" s="52"/>
      <c r="B144" s="52"/>
      <c r="C144" s="54"/>
      <c r="D144" s="54"/>
      <c r="E144" s="54"/>
      <c r="F144" s="54"/>
      <c r="G144" s="54"/>
      <c r="H144" s="54"/>
      <c r="I144" s="54"/>
      <c r="J144" s="31"/>
      <c r="K144" s="31"/>
      <c r="L144" s="28"/>
    </row>
    <row r="145" spans="1:12" x14ac:dyDescent="0.2">
      <c r="A145" s="55" t="s">
        <v>16</v>
      </c>
      <c r="B145" s="56"/>
      <c r="C145" s="56"/>
      <c r="D145" s="56"/>
      <c r="E145" s="56"/>
      <c r="F145" s="56"/>
      <c r="G145" s="56"/>
      <c r="H145" s="56"/>
      <c r="I145" s="57"/>
      <c r="J145" s="36">
        <f t="shared" ref="J145:L145" si="40">SUM(J142:J144)</f>
        <v>0</v>
      </c>
      <c r="K145" s="36">
        <f t="shared" si="40"/>
        <v>0</v>
      </c>
      <c r="L145" s="36">
        <f t="shared" si="40"/>
        <v>0</v>
      </c>
    </row>
    <row r="146" spans="1:12" x14ac:dyDescent="0.2">
      <c r="A146" s="27">
        <v>24</v>
      </c>
      <c r="B146" s="28">
        <v>3863</v>
      </c>
      <c r="C146" s="28" t="s">
        <v>11</v>
      </c>
      <c r="D146" s="29" t="s">
        <v>36</v>
      </c>
      <c r="E146" s="44" t="s">
        <v>362</v>
      </c>
      <c r="F146" s="31" t="s">
        <v>13</v>
      </c>
      <c r="G146" s="31">
        <v>744</v>
      </c>
      <c r="H146" s="31" t="s">
        <v>14</v>
      </c>
      <c r="I146" s="31">
        <v>10</v>
      </c>
      <c r="J146" s="32">
        <f t="shared" ref="J146:K146" si="41">+J152</f>
        <v>8</v>
      </c>
      <c r="K146" s="33">
        <f t="shared" si="41"/>
        <v>3</v>
      </c>
      <c r="L146" s="34">
        <f>+I146+J146-K146</f>
        <v>15</v>
      </c>
    </row>
    <row r="147" spans="1:12" x14ac:dyDescent="0.2">
      <c r="A147" s="58" t="s">
        <v>15</v>
      </c>
      <c r="B147" s="58"/>
      <c r="C147" s="59" t="s">
        <v>3</v>
      </c>
      <c r="D147" s="59"/>
      <c r="E147" s="59"/>
      <c r="F147" s="59"/>
      <c r="G147" s="59"/>
      <c r="H147" s="59"/>
      <c r="I147" s="59"/>
      <c r="J147" s="35" t="s">
        <v>8</v>
      </c>
      <c r="K147" s="35" t="s">
        <v>9</v>
      </c>
      <c r="L147" s="35" t="s">
        <v>10</v>
      </c>
    </row>
    <row r="148" spans="1:12" x14ac:dyDescent="0.2">
      <c r="A148" s="52">
        <v>46052</v>
      </c>
      <c r="B148" s="52"/>
      <c r="C148" s="54" t="s">
        <v>277</v>
      </c>
      <c r="D148" s="54"/>
      <c r="E148" s="54"/>
      <c r="F148" s="54"/>
      <c r="G148" s="54"/>
      <c r="H148" s="54"/>
      <c r="I148" s="54"/>
      <c r="J148" s="31">
        <v>8</v>
      </c>
      <c r="K148" s="31"/>
      <c r="L148" s="28"/>
    </row>
    <row r="149" spans="1:12" x14ac:dyDescent="0.2">
      <c r="A149" s="52">
        <v>46084</v>
      </c>
      <c r="B149" s="52"/>
      <c r="C149" s="54" t="s">
        <v>335</v>
      </c>
      <c r="D149" s="54"/>
      <c r="E149" s="54"/>
      <c r="F149" s="54"/>
      <c r="G149" s="54"/>
      <c r="H149" s="54"/>
      <c r="I149" s="54"/>
      <c r="J149" s="31"/>
      <c r="K149" s="31">
        <v>2</v>
      </c>
      <c r="L149" s="28"/>
    </row>
    <row r="150" spans="1:12" x14ac:dyDescent="0.2">
      <c r="A150" s="52">
        <v>46096</v>
      </c>
      <c r="B150" s="52"/>
      <c r="C150" s="54" t="s">
        <v>335</v>
      </c>
      <c r="D150" s="54"/>
      <c r="E150" s="54"/>
      <c r="F150" s="54"/>
      <c r="G150" s="54"/>
      <c r="H150" s="54"/>
      <c r="I150" s="54"/>
      <c r="J150" s="31"/>
      <c r="K150" s="31">
        <v>1</v>
      </c>
      <c r="L150" s="28"/>
    </row>
    <row r="151" spans="1:12" x14ac:dyDescent="0.2">
      <c r="A151" s="52"/>
      <c r="B151" s="52"/>
      <c r="C151" s="54"/>
      <c r="D151" s="54"/>
      <c r="E151" s="54"/>
      <c r="F151" s="54"/>
      <c r="G151" s="54"/>
      <c r="H151" s="54"/>
      <c r="I151" s="54"/>
      <c r="J151" s="31"/>
      <c r="K151" s="31"/>
      <c r="L151" s="28"/>
    </row>
    <row r="152" spans="1:12" x14ac:dyDescent="0.2">
      <c r="A152" s="55" t="s">
        <v>16</v>
      </c>
      <c r="B152" s="56"/>
      <c r="C152" s="56"/>
      <c r="D152" s="56"/>
      <c r="E152" s="56"/>
      <c r="F152" s="56"/>
      <c r="G152" s="56"/>
      <c r="H152" s="56"/>
      <c r="I152" s="57"/>
      <c r="J152" s="36">
        <f>SUM(J148:J151)</f>
        <v>8</v>
      </c>
      <c r="K152" s="36">
        <f t="shared" ref="K152:L152" si="42">SUM(K148:K151)</f>
        <v>3</v>
      </c>
      <c r="L152" s="36">
        <f t="shared" si="42"/>
        <v>0</v>
      </c>
    </row>
    <row r="153" spans="1:12" x14ac:dyDescent="0.2">
      <c r="A153" s="27">
        <v>25</v>
      </c>
      <c r="B153" s="28">
        <v>3855</v>
      </c>
      <c r="C153" s="28" t="s">
        <v>11</v>
      </c>
      <c r="D153" s="29" t="s">
        <v>37</v>
      </c>
      <c r="E153" s="44" t="s">
        <v>362</v>
      </c>
      <c r="F153" s="31" t="s">
        <v>13</v>
      </c>
      <c r="G153" s="31">
        <v>744</v>
      </c>
      <c r="H153" s="31" t="s">
        <v>14</v>
      </c>
      <c r="I153" s="31">
        <v>15</v>
      </c>
      <c r="J153" s="32">
        <f t="shared" ref="J153:K153" si="43">+J158</f>
        <v>4</v>
      </c>
      <c r="K153" s="33">
        <f t="shared" si="43"/>
        <v>1</v>
      </c>
      <c r="L153" s="34">
        <f>+I153+J153-K153</f>
        <v>18</v>
      </c>
    </row>
    <row r="154" spans="1:12" x14ac:dyDescent="0.2">
      <c r="A154" s="58" t="s">
        <v>15</v>
      </c>
      <c r="B154" s="58"/>
      <c r="C154" s="59" t="s">
        <v>3</v>
      </c>
      <c r="D154" s="59"/>
      <c r="E154" s="59"/>
      <c r="F154" s="59"/>
      <c r="G154" s="59"/>
      <c r="H154" s="59"/>
      <c r="I154" s="59"/>
      <c r="J154" s="35" t="s">
        <v>8</v>
      </c>
      <c r="K154" s="35" t="s">
        <v>9</v>
      </c>
      <c r="L154" s="35" t="s">
        <v>10</v>
      </c>
    </row>
    <row r="155" spans="1:12" x14ac:dyDescent="0.2">
      <c r="A155" s="52">
        <v>46052</v>
      </c>
      <c r="B155" s="52"/>
      <c r="C155" s="54" t="s">
        <v>277</v>
      </c>
      <c r="D155" s="54"/>
      <c r="E155" s="54"/>
      <c r="F155" s="54"/>
      <c r="G155" s="54"/>
      <c r="H155" s="54"/>
      <c r="I155" s="54"/>
      <c r="J155" s="31">
        <v>4</v>
      </c>
      <c r="K155" s="31"/>
      <c r="L155" s="28"/>
    </row>
    <row r="156" spans="1:12" x14ac:dyDescent="0.2">
      <c r="A156" s="52">
        <v>46084</v>
      </c>
      <c r="B156" s="52"/>
      <c r="C156" s="54" t="s">
        <v>335</v>
      </c>
      <c r="D156" s="54"/>
      <c r="E156" s="54"/>
      <c r="F156" s="54"/>
      <c r="G156" s="54"/>
      <c r="H156" s="54"/>
      <c r="I156" s="54"/>
      <c r="J156" s="31"/>
      <c r="K156" s="31">
        <v>1</v>
      </c>
      <c r="L156" s="28"/>
    </row>
    <row r="157" spans="1:12" x14ac:dyDescent="0.2">
      <c r="A157" s="52"/>
      <c r="B157" s="52"/>
      <c r="C157" s="54"/>
      <c r="D157" s="54"/>
      <c r="E157" s="54"/>
      <c r="F157" s="54"/>
      <c r="G157" s="54"/>
      <c r="H157" s="54"/>
      <c r="I157" s="54"/>
      <c r="J157" s="31"/>
      <c r="K157" s="31"/>
      <c r="L157" s="28"/>
    </row>
    <row r="158" spans="1:12" x14ac:dyDescent="0.2">
      <c r="A158" s="55" t="s">
        <v>16</v>
      </c>
      <c r="B158" s="56"/>
      <c r="C158" s="56"/>
      <c r="D158" s="56"/>
      <c r="E158" s="56"/>
      <c r="F158" s="56"/>
      <c r="G158" s="56"/>
      <c r="H158" s="56"/>
      <c r="I158" s="57"/>
      <c r="J158" s="36">
        <f t="shared" ref="J158:L158" si="44">SUM(J155:J157)</f>
        <v>4</v>
      </c>
      <c r="K158" s="36">
        <f t="shared" si="44"/>
        <v>1</v>
      </c>
      <c r="L158" s="36">
        <f t="shared" si="44"/>
        <v>0</v>
      </c>
    </row>
    <row r="159" spans="1:12" x14ac:dyDescent="0.2">
      <c r="A159" s="27">
        <v>26</v>
      </c>
      <c r="B159" s="28">
        <v>2894</v>
      </c>
      <c r="C159" s="28" t="s">
        <v>11</v>
      </c>
      <c r="D159" s="29" t="s">
        <v>38</v>
      </c>
      <c r="E159" s="44" t="s">
        <v>362</v>
      </c>
      <c r="F159" s="31" t="s">
        <v>13</v>
      </c>
      <c r="G159" s="31">
        <v>744</v>
      </c>
      <c r="H159" s="31" t="s">
        <v>14</v>
      </c>
      <c r="I159" s="31">
        <v>11</v>
      </c>
      <c r="J159" s="32">
        <f t="shared" ref="J159:K159" si="45">+J164</f>
        <v>4</v>
      </c>
      <c r="K159" s="33">
        <f t="shared" si="45"/>
        <v>2</v>
      </c>
      <c r="L159" s="34">
        <f>+I159+J159-K159</f>
        <v>13</v>
      </c>
    </row>
    <row r="160" spans="1:12" x14ac:dyDescent="0.2">
      <c r="A160" s="58" t="s">
        <v>15</v>
      </c>
      <c r="B160" s="58"/>
      <c r="C160" s="59" t="s">
        <v>3</v>
      </c>
      <c r="D160" s="59"/>
      <c r="E160" s="59"/>
      <c r="F160" s="59"/>
      <c r="G160" s="59"/>
      <c r="H160" s="59"/>
      <c r="I160" s="59"/>
      <c r="J160" s="35" t="s">
        <v>8</v>
      </c>
      <c r="K160" s="35" t="s">
        <v>9</v>
      </c>
      <c r="L160" s="35" t="s">
        <v>10</v>
      </c>
    </row>
    <row r="161" spans="1:12" x14ac:dyDescent="0.2">
      <c r="A161" s="52">
        <v>46052</v>
      </c>
      <c r="B161" s="52"/>
      <c r="C161" s="54" t="s">
        <v>277</v>
      </c>
      <c r="D161" s="54"/>
      <c r="E161" s="54"/>
      <c r="F161" s="54"/>
      <c r="G161" s="54"/>
      <c r="H161" s="54"/>
      <c r="I161" s="54"/>
      <c r="J161" s="31">
        <v>4</v>
      </c>
      <c r="K161" s="31"/>
      <c r="L161" s="28"/>
    </row>
    <row r="162" spans="1:12" x14ac:dyDescent="0.2">
      <c r="A162" s="52">
        <v>46084</v>
      </c>
      <c r="B162" s="52"/>
      <c r="C162" s="54" t="s">
        <v>335</v>
      </c>
      <c r="D162" s="54"/>
      <c r="E162" s="54"/>
      <c r="F162" s="54"/>
      <c r="G162" s="54"/>
      <c r="H162" s="54"/>
      <c r="I162" s="54"/>
      <c r="J162" s="31"/>
      <c r="K162" s="31">
        <v>2</v>
      </c>
      <c r="L162" s="28"/>
    </row>
    <row r="163" spans="1:12" x14ac:dyDescent="0.2">
      <c r="A163" s="52"/>
      <c r="B163" s="52"/>
      <c r="C163" s="54"/>
      <c r="D163" s="54"/>
      <c r="E163" s="54"/>
      <c r="F163" s="54"/>
      <c r="G163" s="54"/>
      <c r="H163" s="54"/>
      <c r="I163" s="54"/>
      <c r="J163" s="31"/>
      <c r="K163" s="31"/>
      <c r="L163" s="28"/>
    </row>
    <row r="164" spans="1:12" x14ac:dyDescent="0.2">
      <c r="A164" s="55" t="s">
        <v>16</v>
      </c>
      <c r="B164" s="56"/>
      <c r="C164" s="56"/>
      <c r="D164" s="56"/>
      <c r="E164" s="56"/>
      <c r="F164" s="56"/>
      <c r="G164" s="56"/>
      <c r="H164" s="56"/>
      <c r="I164" s="57"/>
      <c r="J164" s="36">
        <f t="shared" ref="J164:L164" si="46">SUM(J161:J163)</f>
        <v>4</v>
      </c>
      <c r="K164" s="36">
        <f t="shared" si="46"/>
        <v>2</v>
      </c>
      <c r="L164" s="36">
        <f t="shared" si="46"/>
        <v>0</v>
      </c>
    </row>
    <row r="165" spans="1:12" x14ac:dyDescent="0.2">
      <c r="A165" s="27">
        <v>27</v>
      </c>
      <c r="B165" s="28">
        <v>3903</v>
      </c>
      <c r="C165" s="28" t="s">
        <v>11</v>
      </c>
      <c r="D165" s="29" t="s">
        <v>39</v>
      </c>
      <c r="E165" s="44" t="s">
        <v>362</v>
      </c>
      <c r="F165" s="31" t="s">
        <v>13</v>
      </c>
      <c r="G165" s="31">
        <v>744</v>
      </c>
      <c r="H165" s="31" t="s">
        <v>14</v>
      </c>
      <c r="I165" s="31">
        <v>7</v>
      </c>
      <c r="J165" s="32">
        <f t="shared" ref="J165:K165" si="47">+J171</f>
        <v>4</v>
      </c>
      <c r="K165" s="33">
        <f t="shared" si="47"/>
        <v>2</v>
      </c>
      <c r="L165" s="34">
        <f>+I165+J165-K165</f>
        <v>9</v>
      </c>
    </row>
    <row r="166" spans="1:12" x14ac:dyDescent="0.2">
      <c r="A166" s="58" t="s">
        <v>15</v>
      </c>
      <c r="B166" s="58"/>
      <c r="C166" s="59" t="s">
        <v>3</v>
      </c>
      <c r="D166" s="59"/>
      <c r="E166" s="59"/>
      <c r="F166" s="59"/>
      <c r="G166" s="59"/>
      <c r="H166" s="59"/>
      <c r="I166" s="59"/>
      <c r="J166" s="35" t="s">
        <v>8</v>
      </c>
      <c r="K166" s="35" t="s">
        <v>9</v>
      </c>
      <c r="L166" s="35" t="s">
        <v>10</v>
      </c>
    </row>
    <row r="167" spans="1:12" x14ac:dyDescent="0.2">
      <c r="A167" s="52">
        <v>46052</v>
      </c>
      <c r="B167" s="52"/>
      <c r="C167" s="54" t="s">
        <v>277</v>
      </c>
      <c r="D167" s="54"/>
      <c r="E167" s="54"/>
      <c r="F167" s="54"/>
      <c r="G167" s="54"/>
      <c r="H167" s="54"/>
      <c r="I167" s="54"/>
      <c r="J167" s="31">
        <f>24/6</f>
        <v>4</v>
      </c>
      <c r="K167" s="31"/>
      <c r="L167" s="28"/>
    </row>
    <row r="168" spans="1:12" x14ac:dyDescent="0.2">
      <c r="A168" s="52">
        <v>46078</v>
      </c>
      <c r="B168" s="52"/>
      <c r="C168" s="54" t="s">
        <v>335</v>
      </c>
      <c r="D168" s="54"/>
      <c r="E168" s="54"/>
      <c r="F168" s="54"/>
      <c r="G168" s="54"/>
      <c r="H168" s="54"/>
      <c r="I168" s="54"/>
      <c r="J168" s="31"/>
      <c r="K168" s="31">
        <v>1</v>
      </c>
      <c r="L168" s="28"/>
    </row>
    <row r="169" spans="1:12" x14ac:dyDescent="0.2">
      <c r="A169" s="52">
        <v>46084</v>
      </c>
      <c r="B169" s="52"/>
      <c r="C169" s="54" t="s">
        <v>335</v>
      </c>
      <c r="D169" s="54"/>
      <c r="E169" s="54"/>
      <c r="F169" s="54"/>
      <c r="G169" s="54"/>
      <c r="H169" s="54"/>
      <c r="I169" s="54"/>
      <c r="J169" s="31"/>
      <c r="K169" s="31">
        <v>1</v>
      </c>
      <c r="L169" s="28"/>
    </row>
    <row r="170" spans="1:12" x14ac:dyDescent="0.2">
      <c r="A170" s="52"/>
      <c r="B170" s="52"/>
      <c r="C170" s="54"/>
      <c r="D170" s="54"/>
      <c r="E170" s="54"/>
      <c r="F170" s="54"/>
      <c r="G170" s="54"/>
      <c r="H170" s="54"/>
      <c r="I170" s="54"/>
      <c r="J170" s="31"/>
      <c r="K170" s="31"/>
      <c r="L170" s="28"/>
    </row>
    <row r="171" spans="1:12" x14ac:dyDescent="0.2">
      <c r="A171" s="55" t="s">
        <v>16</v>
      </c>
      <c r="B171" s="56"/>
      <c r="C171" s="56"/>
      <c r="D171" s="56"/>
      <c r="E171" s="56"/>
      <c r="F171" s="56"/>
      <c r="G171" s="56"/>
      <c r="H171" s="56"/>
      <c r="I171" s="57"/>
      <c r="J171" s="36">
        <f t="shared" ref="J171:L171" si="48">SUM(J167:J170)</f>
        <v>4</v>
      </c>
      <c r="K171" s="36">
        <f t="shared" si="48"/>
        <v>2</v>
      </c>
      <c r="L171" s="36">
        <f t="shared" si="48"/>
        <v>0</v>
      </c>
    </row>
    <row r="172" spans="1:12" x14ac:dyDescent="0.2">
      <c r="A172" s="27">
        <v>28</v>
      </c>
      <c r="B172" s="28">
        <v>3902</v>
      </c>
      <c r="C172" s="28" t="s">
        <v>11</v>
      </c>
      <c r="D172" s="29" t="s">
        <v>40</v>
      </c>
      <c r="E172" s="44" t="s">
        <v>362</v>
      </c>
      <c r="F172" s="31" t="s">
        <v>13</v>
      </c>
      <c r="G172" s="31">
        <v>744</v>
      </c>
      <c r="H172" s="31" t="s">
        <v>14</v>
      </c>
      <c r="I172" s="31">
        <v>9</v>
      </c>
      <c r="J172" s="32">
        <f t="shared" ref="J172:K172" si="49">+J178</f>
        <v>4</v>
      </c>
      <c r="K172" s="33">
        <f t="shared" si="49"/>
        <v>3</v>
      </c>
      <c r="L172" s="34">
        <f>+I172+J172-K172</f>
        <v>10</v>
      </c>
    </row>
    <row r="173" spans="1:12" x14ac:dyDescent="0.2">
      <c r="A173" s="58" t="s">
        <v>15</v>
      </c>
      <c r="B173" s="58"/>
      <c r="C173" s="59" t="s">
        <v>3</v>
      </c>
      <c r="D173" s="59"/>
      <c r="E173" s="59"/>
      <c r="F173" s="59"/>
      <c r="G173" s="59"/>
      <c r="H173" s="59"/>
      <c r="I173" s="59"/>
      <c r="J173" s="35" t="s">
        <v>8</v>
      </c>
      <c r="K173" s="35" t="s">
        <v>9</v>
      </c>
      <c r="L173" s="35" t="s">
        <v>10</v>
      </c>
    </row>
    <row r="174" spans="1:12" x14ac:dyDescent="0.2">
      <c r="A174" s="52">
        <v>46052</v>
      </c>
      <c r="B174" s="52"/>
      <c r="C174" s="54" t="s">
        <v>277</v>
      </c>
      <c r="D174" s="54"/>
      <c r="E174" s="54"/>
      <c r="F174" s="54"/>
      <c r="G174" s="54"/>
      <c r="H174" s="54"/>
      <c r="I174" s="54"/>
      <c r="J174" s="31">
        <v>4</v>
      </c>
      <c r="K174" s="31"/>
      <c r="L174" s="28"/>
    </row>
    <row r="175" spans="1:12" x14ac:dyDescent="0.2">
      <c r="A175" s="52">
        <v>46078</v>
      </c>
      <c r="B175" s="52"/>
      <c r="C175" s="54" t="s">
        <v>335</v>
      </c>
      <c r="D175" s="54"/>
      <c r="E175" s="54"/>
      <c r="F175" s="54"/>
      <c r="G175" s="54"/>
      <c r="H175" s="54"/>
      <c r="I175" s="54"/>
      <c r="J175" s="31"/>
      <c r="K175" s="31">
        <v>2</v>
      </c>
      <c r="L175" s="28"/>
    </row>
    <row r="176" spans="1:12" x14ac:dyDescent="0.2">
      <c r="A176" s="52">
        <v>46084</v>
      </c>
      <c r="B176" s="52"/>
      <c r="C176" s="54" t="s">
        <v>335</v>
      </c>
      <c r="D176" s="54"/>
      <c r="E176" s="54"/>
      <c r="F176" s="54"/>
      <c r="G176" s="54"/>
      <c r="H176" s="54"/>
      <c r="I176" s="54"/>
      <c r="J176" s="31"/>
      <c r="K176" s="31">
        <v>1</v>
      </c>
      <c r="L176" s="28"/>
    </row>
    <row r="177" spans="1:12" x14ac:dyDescent="0.2">
      <c r="A177" s="52"/>
      <c r="B177" s="52"/>
      <c r="C177" s="54"/>
      <c r="D177" s="54"/>
      <c r="E177" s="54"/>
      <c r="F177" s="54"/>
      <c r="G177" s="54"/>
      <c r="H177" s="54"/>
      <c r="I177" s="54"/>
      <c r="J177" s="31"/>
      <c r="K177" s="31"/>
      <c r="L177" s="28"/>
    </row>
    <row r="178" spans="1:12" x14ac:dyDescent="0.2">
      <c r="A178" s="55" t="s">
        <v>16</v>
      </c>
      <c r="B178" s="56"/>
      <c r="C178" s="56"/>
      <c r="D178" s="56"/>
      <c r="E178" s="56"/>
      <c r="F178" s="56"/>
      <c r="G178" s="56"/>
      <c r="H178" s="56"/>
      <c r="I178" s="57"/>
      <c r="J178" s="36">
        <f t="shared" ref="J178:L178" si="50">SUM(J174:J177)</f>
        <v>4</v>
      </c>
      <c r="K178" s="36">
        <f t="shared" si="50"/>
        <v>3</v>
      </c>
      <c r="L178" s="36">
        <f t="shared" si="50"/>
        <v>0</v>
      </c>
    </row>
    <row r="179" spans="1:12" x14ac:dyDescent="0.2">
      <c r="A179" s="27">
        <v>29</v>
      </c>
      <c r="B179" s="28">
        <v>2003</v>
      </c>
      <c r="C179" s="28" t="s">
        <v>11</v>
      </c>
      <c r="D179" s="29" t="s">
        <v>41</v>
      </c>
      <c r="E179" s="44" t="s">
        <v>362</v>
      </c>
      <c r="F179" s="31" t="s">
        <v>13</v>
      </c>
      <c r="G179" s="31">
        <v>744</v>
      </c>
      <c r="H179" s="31" t="s">
        <v>14</v>
      </c>
      <c r="I179" s="31"/>
      <c r="J179" s="32">
        <f t="shared" ref="J179:K179" si="51">+J184</f>
        <v>0</v>
      </c>
      <c r="K179" s="33">
        <f t="shared" si="51"/>
        <v>0</v>
      </c>
      <c r="L179" s="37">
        <f>+I179+J179-K179</f>
        <v>0</v>
      </c>
    </row>
    <row r="180" spans="1:12" x14ac:dyDescent="0.2">
      <c r="A180" s="58" t="s">
        <v>15</v>
      </c>
      <c r="B180" s="58"/>
      <c r="C180" s="59" t="s">
        <v>3</v>
      </c>
      <c r="D180" s="59"/>
      <c r="E180" s="59"/>
      <c r="F180" s="59"/>
      <c r="G180" s="59"/>
      <c r="H180" s="59"/>
      <c r="I180" s="59"/>
      <c r="J180" s="35" t="s">
        <v>8</v>
      </c>
      <c r="K180" s="35" t="s">
        <v>9</v>
      </c>
      <c r="L180" s="35" t="s">
        <v>10</v>
      </c>
    </row>
    <row r="181" spans="1:12" x14ac:dyDescent="0.2">
      <c r="A181" s="52"/>
      <c r="B181" s="52"/>
      <c r="C181" s="54"/>
      <c r="D181" s="54"/>
      <c r="E181" s="54"/>
      <c r="F181" s="54"/>
      <c r="G181" s="54"/>
      <c r="H181" s="54"/>
      <c r="I181" s="54"/>
      <c r="J181" s="31"/>
      <c r="K181" s="31"/>
      <c r="L181" s="28"/>
    </row>
    <row r="182" spans="1:12" x14ac:dyDescent="0.2">
      <c r="A182" s="52"/>
      <c r="B182" s="52"/>
      <c r="C182" s="54"/>
      <c r="D182" s="54"/>
      <c r="E182" s="54"/>
      <c r="F182" s="54"/>
      <c r="G182" s="54"/>
      <c r="H182" s="54"/>
      <c r="I182" s="54"/>
      <c r="J182" s="31"/>
      <c r="K182" s="31"/>
      <c r="L182" s="28"/>
    </row>
    <row r="183" spans="1:12" x14ac:dyDescent="0.2">
      <c r="A183" s="52"/>
      <c r="B183" s="52"/>
      <c r="C183" s="54"/>
      <c r="D183" s="54"/>
      <c r="E183" s="54"/>
      <c r="F183" s="54"/>
      <c r="G183" s="54"/>
      <c r="H183" s="54"/>
      <c r="I183" s="54"/>
      <c r="J183" s="31"/>
      <c r="K183" s="31"/>
      <c r="L183" s="28"/>
    </row>
    <row r="184" spans="1:12" x14ac:dyDescent="0.2">
      <c r="A184" s="55" t="s">
        <v>16</v>
      </c>
      <c r="B184" s="56"/>
      <c r="C184" s="56"/>
      <c r="D184" s="56"/>
      <c r="E184" s="56"/>
      <c r="F184" s="56"/>
      <c r="G184" s="56"/>
      <c r="H184" s="56"/>
      <c r="I184" s="57"/>
      <c r="J184" s="36">
        <f t="shared" ref="J184:L184" si="52">SUM(J181:J183)</f>
        <v>0</v>
      </c>
      <c r="K184" s="36">
        <f t="shared" si="52"/>
        <v>0</v>
      </c>
      <c r="L184" s="36">
        <f t="shared" si="52"/>
        <v>0</v>
      </c>
    </row>
    <row r="185" spans="1:12" x14ac:dyDescent="0.2">
      <c r="A185" s="27">
        <v>30</v>
      </c>
      <c r="B185" s="28">
        <v>3854</v>
      </c>
      <c r="C185" s="28" t="s">
        <v>11</v>
      </c>
      <c r="D185" s="29" t="s">
        <v>42</v>
      </c>
      <c r="E185" s="44" t="s">
        <v>362</v>
      </c>
      <c r="F185" s="31" t="s">
        <v>13</v>
      </c>
      <c r="G185" s="31">
        <v>5020</v>
      </c>
      <c r="H185" s="31" t="s">
        <v>14</v>
      </c>
      <c r="I185" s="31"/>
      <c r="J185" s="32">
        <f t="shared" ref="J185:K185" si="53">+J190</f>
        <v>0</v>
      </c>
      <c r="K185" s="33">
        <f t="shared" si="53"/>
        <v>0</v>
      </c>
      <c r="L185" s="38">
        <f>+I185+J185-K185</f>
        <v>0</v>
      </c>
    </row>
    <row r="186" spans="1:12" x14ac:dyDescent="0.2">
      <c r="A186" s="58" t="s">
        <v>15</v>
      </c>
      <c r="B186" s="58"/>
      <c r="C186" s="59" t="s">
        <v>3</v>
      </c>
      <c r="D186" s="59"/>
      <c r="E186" s="59"/>
      <c r="F186" s="59"/>
      <c r="G186" s="59"/>
      <c r="H186" s="59"/>
      <c r="I186" s="59"/>
      <c r="J186" s="35" t="s">
        <v>8</v>
      </c>
      <c r="K186" s="35" t="s">
        <v>9</v>
      </c>
      <c r="L186" s="35" t="s">
        <v>10</v>
      </c>
    </row>
    <row r="187" spans="1:12" x14ac:dyDescent="0.2">
      <c r="A187" s="52"/>
      <c r="B187" s="52"/>
      <c r="C187" s="54"/>
      <c r="D187" s="54"/>
      <c r="E187" s="54"/>
      <c r="F187" s="54"/>
      <c r="G187" s="54"/>
      <c r="H187" s="54"/>
      <c r="I187" s="54"/>
      <c r="J187" s="31"/>
      <c r="K187" s="31"/>
      <c r="L187" s="28"/>
    </row>
    <row r="188" spans="1:12" x14ac:dyDescent="0.2">
      <c r="A188" s="52"/>
      <c r="B188" s="52"/>
      <c r="C188" s="54"/>
      <c r="D188" s="54"/>
      <c r="E188" s="54"/>
      <c r="F188" s="54"/>
      <c r="G188" s="54"/>
      <c r="H188" s="54"/>
      <c r="I188" s="54"/>
      <c r="J188" s="31"/>
      <c r="K188" s="31"/>
      <c r="L188" s="28"/>
    </row>
    <row r="189" spans="1:12" x14ac:dyDescent="0.2">
      <c r="A189" s="52"/>
      <c r="B189" s="52"/>
      <c r="C189" s="54"/>
      <c r="D189" s="54"/>
      <c r="E189" s="54"/>
      <c r="F189" s="54"/>
      <c r="G189" s="54"/>
      <c r="H189" s="54"/>
      <c r="I189" s="54"/>
      <c r="J189" s="31"/>
      <c r="K189" s="31"/>
      <c r="L189" s="28"/>
    </row>
    <row r="190" spans="1:12" x14ac:dyDescent="0.2">
      <c r="A190" s="55" t="s">
        <v>16</v>
      </c>
      <c r="B190" s="56"/>
      <c r="C190" s="56"/>
      <c r="D190" s="56"/>
      <c r="E190" s="56"/>
      <c r="F190" s="56"/>
      <c r="G190" s="56"/>
      <c r="H190" s="56"/>
      <c r="I190" s="57"/>
      <c r="J190" s="36">
        <f t="shared" ref="J190:L190" si="54">SUM(J187:J189)</f>
        <v>0</v>
      </c>
      <c r="K190" s="36">
        <f t="shared" si="54"/>
        <v>0</v>
      </c>
      <c r="L190" s="36">
        <f t="shared" si="54"/>
        <v>0</v>
      </c>
    </row>
    <row r="191" spans="1:12" x14ac:dyDescent="0.2">
      <c r="A191" s="27">
        <v>31</v>
      </c>
      <c r="B191" s="28">
        <v>2829</v>
      </c>
      <c r="C191" s="28" t="s">
        <v>11</v>
      </c>
      <c r="D191" s="29" t="s">
        <v>43</v>
      </c>
      <c r="E191" s="44" t="s">
        <v>362</v>
      </c>
      <c r="F191" s="31" t="s">
        <v>13</v>
      </c>
      <c r="G191" s="31">
        <v>5020</v>
      </c>
      <c r="H191" s="31" t="s">
        <v>14</v>
      </c>
      <c r="I191" s="31">
        <v>11</v>
      </c>
      <c r="J191" s="32">
        <f t="shared" ref="J191:K191" si="55">+J196</f>
        <v>0</v>
      </c>
      <c r="K191" s="33">
        <f t="shared" si="55"/>
        <v>0</v>
      </c>
      <c r="L191" s="37">
        <f>+I191+J191-K191</f>
        <v>11</v>
      </c>
    </row>
    <row r="192" spans="1:12" x14ac:dyDescent="0.2">
      <c r="A192" s="58" t="s">
        <v>15</v>
      </c>
      <c r="B192" s="58"/>
      <c r="C192" s="59" t="s">
        <v>3</v>
      </c>
      <c r="D192" s="59"/>
      <c r="E192" s="59"/>
      <c r="F192" s="59"/>
      <c r="G192" s="59"/>
      <c r="H192" s="59"/>
      <c r="I192" s="59"/>
      <c r="J192" s="35" t="s">
        <v>8</v>
      </c>
      <c r="K192" s="35" t="s">
        <v>9</v>
      </c>
      <c r="L192" s="35" t="s">
        <v>10</v>
      </c>
    </row>
    <row r="193" spans="1:12" x14ac:dyDescent="0.2">
      <c r="A193" s="52"/>
      <c r="B193" s="52"/>
      <c r="C193" s="54"/>
      <c r="D193" s="54"/>
      <c r="E193" s="54"/>
      <c r="F193" s="54"/>
      <c r="G193" s="54"/>
      <c r="H193" s="54"/>
      <c r="I193" s="54"/>
      <c r="J193" s="31"/>
      <c r="K193" s="31"/>
      <c r="L193" s="28"/>
    </row>
    <row r="194" spans="1:12" x14ac:dyDescent="0.2">
      <c r="A194" s="52"/>
      <c r="B194" s="52"/>
      <c r="C194" s="54"/>
      <c r="D194" s="54"/>
      <c r="E194" s="54"/>
      <c r="F194" s="54"/>
      <c r="G194" s="54"/>
      <c r="H194" s="54"/>
      <c r="I194" s="54"/>
      <c r="J194" s="31"/>
      <c r="K194" s="31"/>
      <c r="L194" s="28"/>
    </row>
    <row r="195" spans="1:12" x14ac:dyDescent="0.2">
      <c r="A195" s="52"/>
      <c r="B195" s="52"/>
      <c r="C195" s="54"/>
      <c r="D195" s="54"/>
      <c r="E195" s="54"/>
      <c r="F195" s="54"/>
      <c r="G195" s="54"/>
      <c r="H195" s="54"/>
      <c r="I195" s="54"/>
      <c r="J195" s="31"/>
      <c r="K195" s="31"/>
      <c r="L195" s="28"/>
    </row>
    <row r="196" spans="1:12" x14ac:dyDescent="0.2">
      <c r="A196" s="55" t="s">
        <v>16</v>
      </c>
      <c r="B196" s="56"/>
      <c r="C196" s="56"/>
      <c r="D196" s="56"/>
      <c r="E196" s="56"/>
      <c r="F196" s="56"/>
      <c r="G196" s="56"/>
      <c r="H196" s="56"/>
      <c r="I196" s="57"/>
      <c r="J196" s="36">
        <f t="shared" ref="J196:L196" si="56">SUM(J193:J195)</f>
        <v>0</v>
      </c>
      <c r="K196" s="36">
        <f t="shared" si="56"/>
        <v>0</v>
      </c>
      <c r="L196" s="36">
        <f t="shared" si="56"/>
        <v>0</v>
      </c>
    </row>
    <row r="197" spans="1:12" x14ac:dyDescent="0.2">
      <c r="A197" s="27">
        <v>32</v>
      </c>
      <c r="B197" s="28">
        <v>3853</v>
      </c>
      <c r="C197" s="28" t="s">
        <v>11</v>
      </c>
      <c r="D197" s="29" t="s">
        <v>44</v>
      </c>
      <c r="E197" s="44" t="s">
        <v>362</v>
      </c>
      <c r="F197" s="31" t="s">
        <v>13</v>
      </c>
      <c r="G197" s="31">
        <v>5020</v>
      </c>
      <c r="H197" s="31" t="s">
        <v>14</v>
      </c>
      <c r="I197" s="31"/>
      <c r="J197" s="32">
        <f t="shared" ref="J197:K197" si="57">+J202</f>
        <v>0</v>
      </c>
      <c r="K197" s="33">
        <f t="shared" si="57"/>
        <v>0</v>
      </c>
      <c r="L197" s="38">
        <f>+I197+J197-K197</f>
        <v>0</v>
      </c>
    </row>
    <row r="198" spans="1:12" x14ac:dyDescent="0.2">
      <c r="A198" s="58" t="s">
        <v>15</v>
      </c>
      <c r="B198" s="58"/>
      <c r="C198" s="59" t="s">
        <v>3</v>
      </c>
      <c r="D198" s="59"/>
      <c r="E198" s="59"/>
      <c r="F198" s="59"/>
      <c r="G198" s="59"/>
      <c r="H198" s="59"/>
      <c r="I198" s="59"/>
      <c r="J198" s="35" t="s">
        <v>8</v>
      </c>
      <c r="K198" s="35" t="s">
        <v>9</v>
      </c>
      <c r="L198" s="35" t="s">
        <v>10</v>
      </c>
    </row>
    <row r="199" spans="1:12" x14ac:dyDescent="0.2">
      <c r="A199" s="52"/>
      <c r="B199" s="52"/>
      <c r="C199" s="54"/>
      <c r="D199" s="54"/>
      <c r="E199" s="54"/>
      <c r="F199" s="54"/>
      <c r="G199" s="54"/>
      <c r="H199" s="54"/>
      <c r="I199" s="54"/>
      <c r="J199" s="31"/>
      <c r="K199" s="31"/>
      <c r="L199" s="28"/>
    </row>
    <row r="200" spans="1:12" x14ac:dyDescent="0.2">
      <c r="A200" s="52"/>
      <c r="B200" s="52"/>
      <c r="C200" s="54"/>
      <c r="D200" s="54"/>
      <c r="E200" s="54"/>
      <c r="F200" s="54"/>
      <c r="G200" s="54"/>
      <c r="H200" s="54"/>
      <c r="I200" s="54"/>
      <c r="J200" s="31"/>
      <c r="K200" s="31"/>
      <c r="L200" s="28"/>
    </row>
    <row r="201" spans="1:12" x14ac:dyDescent="0.2">
      <c r="A201" s="52"/>
      <c r="B201" s="52"/>
      <c r="C201" s="54"/>
      <c r="D201" s="54"/>
      <c r="E201" s="54"/>
      <c r="F201" s="54"/>
      <c r="G201" s="54"/>
      <c r="H201" s="54"/>
      <c r="I201" s="54"/>
      <c r="J201" s="31"/>
      <c r="K201" s="31"/>
      <c r="L201" s="28"/>
    </row>
    <row r="202" spans="1:12" x14ac:dyDescent="0.2">
      <c r="A202" s="55" t="s">
        <v>16</v>
      </c>
      <c r="B202" s="56"/>
      <c r="C202" s="56"/>
      <c r="D202" s="56"/>
      <c r="E202" s="56"/>
      <c r="F202" s="56"/>
      <c r="G202" s="56"/>
      <c r="H202" s="56"/>
      <c r="I202" s="57"/>
      <c r="J202" s="36">
        <f t="shared" ref="J202:L202" si="58">SUM(J199:J201)</f>
        <v>0</v>
      </c>
      <c r="K202" s="36">
        <f t="shared" si="58"/>
        <v>0</v>
      </c>
      <c r="L202" s="36">
        <f t="shared" si="58"/>
        <v>0</v>
      </c>
    </row>
    <row r="203" spans="1:12" x14ac:dyDescent="0.2">
      <c r="A203" s="27">
        <v>33</v>
      </c>
      <c r="B203" s="28">
        <v>2831</v>
      </c>
      <c r="C203" s="28" t="s">
        <v>11</v>
      </c>
      <c r="D203" s="29" t="s">
        <v>45</v>
      </c>
      <c r="E203" s="44" t="s">
        <v>362</v>
      </c>
      <c r="F203" s="31" t="s">
        <v>13</v>
      </c>
      <c r="G203" s="31">
        <v>5020</v>
      </c>
      <c r="H203" s="31" t="s">
        <v>14</v>
      </c>
      <c r="I203" s="31">
        <v>12</v>
      </c>
      <c r="J203" s="32">
        <f t="shared" ref="J203:K203" si="59">+J208</f>
        <v>0</v>
      </c>
      <c r="K203" s="33">
        <f t="shared" si="59"/>
        <v>0</v>
      </c>
      <c r="L203" s="37">
        <f>+I203+J203-K203</f>
        <v>12</v>
      </c>
    </row>
    <row r="204" spans="1:12" x14ac:dyDescent="0.2">
      <c r="A204" s="58" t="s">
        <v>15</v>
      </c>
      <c r="B204" s="58"/>
      <c r="C204" s="59" t="s">
        <v>3</v>
      </c>
      <c r="D204" s="59"/>
      <c r="E204" s="59"/>
      <c r="F204" s="59"/>
      <c r="G204" s="59"/>
      <c r="H204" s="59"/>
      <c r="I204" s="59"/>
      <c r="J204" s="35" t="s">
        <v>8</v>
      </c>
      <c r="K204" s="35" t="s">
        <v>9</v>
      </c>
      <c r="L204" s="35" t="s">
        <v>10</v>
      </c>
    </row>
    <row r="205" spans="1:12" x14ac:dyDescent="0.2">
      <c r="A205" s="52"/>
      <c r="B205" s="52"/>
      <c r="C205" s="54"/>
      <c r="D205" s="54"/>
      <c r="E205" s="54"/>
      <c r="F205" s="54"/>
      <c r="G205" s="54"/>
      <c r="H205" s="54"/>
      <c r="I205" s="54"/>
      <c r="J205" s="31"/>
      <c r="K205" s="31"/>
      <c r="L205" s="28"/>
    </row>
    <row r="206" spans="1:12" x14ac:dyDescent="0.2">
      <c r="A206" s="52"/>
      <c r="B206" s="52"/>
      <c r="C206" s="54"/>
      <c r="D206" s="54"/>
      <c r="E206" s="54"/>
      <c r="F206" s="54"/>
      <c r="G206" s="54"/>
      <c r="H206" s="54"/>
      <c r="I206" s="54"/>
      <c r="J206" s="31"/>
      <c r="K206" s="31"/>
      <c r="L206" s="28"/>
    </row>
    <row r="207" spans="1:12" x14ac:dyDescent="0.2">
      <c r="A207" s="52"/>
      <c r="B207" s="52"/>
      <c r="C207" s="54"/>
      <c r="D207" s="54"/>
      <c r="E207" s="54"/>
      <c r="F207" s="54"/>
      <c r="G207" s="54"/>
      <c r="H207" s="54"/>
      <c r="I207" s="54"/>
      <c r="J207" s="31"/>
      <c r="K207" s="31"/>
      <c r="L207" s="28"/>
    </row>
    <row r="208" spans="1:12" x14ac:dyDescent="0.2">
      <c r="A208" s="55" t="s">
        <v>16</v>
      </c>
      <c r="B208" s="56"/>
      <c r="C208" s="56"/>
      <c r="D208" s="56"/>
      <c r="E208" s="56"/>
      <c r="F208" s="56"/>
      <c r="G208" s="56"/>
      <c r="H208" s="56"/>
      <c r="I208" s="57"/>
      <c r="J208" s="36">
        <f t="shared" ref="J208:L208" si="60">SUM(J205:J207)</f>
        <v>0</v>
      </c>
      <c r="K208" s="36">
        <f t="shared" si="60"/>
        <v>0</v>
      </c>
      <c r="L208" s="36">
        <f t="shared" si="60"/>
        <v>0</v>
      </c>
    </row>
    <row r="209" spans="1:12" x14ac:dyDescent="0.2">
      <c r="A209" s="27">
        <v>34</v>
      </c>
      <c r="B209" s="28">
        <v>2833</v>
      </c>
      <c r="C209" s="28" t="s">
        <v>11</v>
      </c>
      <c r="D209" s="29" t="s">
        <v>46</v>
      </c>
      <c r="E209" s="44" t="s">
        <v>362</v>
      </c>
      <c r="F209" s="31" t="s">
        <v>13</v>
      </c>
      <c r="G209" s="31">
        <v>5020</v>
      </c>
      <c r="H209" s="31" t="s">
        <v>14</v>
      </c>
      <c r="I209" s="31">
        <v>6</v>
      </c>
      <c r="J209" s="32">
        <f t="shared" ref="J209:K209" si="61">+J214</f>
        <v>0</v>
      </c>
      <c r="K209" s="33">
        <f t="shared" si="61"/>
        <v>0</v>
      </c>
      <c r="L209" s="38">
        <f>+I209+J209-K209</f>
        <v>6</v>
      </c>
    </row>
    <row r="210" spans="1:12" x14ac:dyDescent="0.2">
      <c r="A210" s="58" t="s">
        <v>15</v>
      </c>
      <c r="B210" s="58"/>
      <c r="C210" s="59" t="s">
        <v>3</v>
      </c>
      <c r="D210" s="59"/>
      <c r="E210" s="59"/>
      <c r="F210" s="59"/>
      <c r="G210" s="59"/>
      <c r="H210" s="59"/>
      <c r="I210" s="59"/>
      <c r="J210" s="35" t="s">
        <v>8</v>
      </c>
      <c r="K210" s="35" t="s">
        <v>9</v>
      </c>
      <c r="L210" s="35" t="s">
        <v>10</v>
      </c>
    </row>
    <row r="211" spans="1:12" x14ac:dyDescent="0.2">
      <c r="A211" s="52"/>
      <c r="B211" s="52"/>
      <c r="C211" s="54"/>
      <c r="D211" s="54"/>
      <c r="E211" s="54"/>
      <c r="F211" s="54"/>
      <c r="G211" s="54"/>
      <c r="H211" s="54"/>
      <c r="I211" s="54"/>
      <c r="J211" s="31"/>
      <c r="K211" s="31"/>
      <c r="L211" s="28"/>
    </row>
    <row r="212" spans="1:12" x14ac:dyDescent="0.2">
      <c r="A212" s="52"/>
      <c r="B212" s="52"/>
      <c r="C212" s="54"/>
      <c r="D212" s="54"/>
      <c r="E212" s="54"/>
      <c r="F212" s="54"/>
      <c r="G212" s="54"/>
      <c r="H212" s="54"/>
      <c r="I212" s="54"/>
      <c r="J212" s="31"/>
      <c r="K212" s="31"/>
      <c r="L212" s="28"/>
    </row>
    <row r="213" spans="1:12" x14ac:dyDescent="0.2">
      <c r="A213" s="52"/>
      <c r="B213" s="52"/>
      <c r="C213" s="54"/>
      <c r="D213" s="54"/>
      <c r="E213" s="54"/>
      <c r="F213" s="54"/>
      <c r="G213" s="54"/>
      <c r="H213" s="54"/>
      <c r="I213" s="54"/>
      <c r="J213" s="31"/>
      <c r="K213" s="31"/>
      <c r="L213" s="28"/>
    </row>
    <row r="214" spans="1:12" x14ac:dyDescent="0.2">
      <c r="A214" s="55" t="s">
        <v>16</v>
      </c>
      <c r="B214" s="56"/>
      <c r="C214" s="56"/>
      <c r="D214" s="56"/>
      <c r="E214" s="56"/>
      <c r="F214" s="56"/>
      <c r="G214" s="56"/>
      <c r="H214" s="56"/>
      <c r="I214" s="57"/>
      <c r="J214" s="36">
        <f t="shared" ref="J214:L214" si="62">SUM(J211:J213)</f>
        <v>0</v>
      </c>
      <c r="K214" s="36">
        <f t="shared" si="62"/>
        <v>0</v>
      </c>
      <c r="L214" s="36">
        <f t="shared" si="62"/>
        <v>0</v>
      </c>
    </row>
    <row r="215" spans="1:12" x14ac:dyDescent="0.2">
      <c r="A215" s="27">
        <v>35</v>
      </c>
      <c r="B215" s="28">
        <v>2832</v>
      </c>
      <c r="C215" s="28" t="s">
        <v>11</v>
      </c>
      <c r="D215" s="29" t="s">
        <v>47</v>
      </c>
      <c r="E215" s="44" t="s">
        <v>362</v>
      </c>
      <c r="F215" s="31" t="s">
        <v>13</v>
      </c>
      <c r="G215" s="31">
        <v>5020</v>
      </c>
      <c r="H215" s="31" t="s">
        <v>14</v>
      </c>
      <c r="I215" s="31">
        <v>12</v>
      </c>
      <c r="J215" s="32">
        <f t="shared" ref="J215:K215" si="63">+J220</f>
        <v>0</v>
      </c>
      <c r="K215" s="33">
        <f t="shared" si="63"/>
        <v>0</v>
      </c>
      <c r="L215" s="37">
        <f>+I215+J215-K215</f>
        <v>12</v>
      </c>
    </row>
    <row r="216" spans="1:12" x14ac:dyDescent="0.2">
      <c r="A216" s="58" t="s">
        <v>15</v>
      </c>
      <c r="B216" s="58"/>
      <c r="C216" s="59" t="s">
        <v>3</v>
      </c>
      <c r="D216" s="59"/>
      <c r="E216" s="59"/>
      <c r="F216" s="59"/>
      <c r="G216" s="59"/>
      <c r="H216" s="59"/>
      <c r="I216" s="59"/>
      <c r="J216" s="35" t="s">
        <v>8</v>
      </c>
      <c r="K216" s="35" t="s">
        <v>9</v>
      </c>
      <c r="L216" s="35" t="s">
        <v>10</v>
      </c>
    </row>
    <row r="217" spans="1:12" x14ac:dyDescent="0.2">
      <c r="A217" s="52"/>
      <c r="B217" s="52"/>
      <c r="C217" s="54"/>
      <c r="D217" s="54"/>
      <c r="E217" s="54"/>
      <c r="F217" s="54"/>
      <c r="G217" s="54"/>
      <c r="H217" s="54"/>
      <c r="I217" s="54"/>
      <c r="J217" s="31"/>
      <c r="K217" s="31"/>
      <c r="L217" s="28"/>
    </row>
    <row r="218" spans="1:12" x14ac:dyDescent="0.2">
      <c r="A218" s="52"/>
      <c r="B218" s="52"/>
      <c r="C218" s="54"/>
      <c r="D218" s="54"/>
      <c r="E218" s="54"/>
      <c r="F218" s="54"/>
      <c r="G218" s="54"/>
      <c r="H218" s="54"/>
      <c r="I218" s="54"/>
      <c r="J218" s="31"/>
      <c r="K218" s="31"/>
      <c r="L218" s="28"/>
    </row>
    <row r="219" spans="1:12" x14ac:dyDescent="0.2">
      <c r="A219" s="52"/>
      <c r="B219" s="52"/>
      <c r="C219" s="54"/>
      <c r="D219" s="54"/>
      <c r="E219" s="54"/>
      <c r="F219" s="54"/>
      <c r="G219" s="54"/>
      <c r="H219" s="54"/>
      <c r="I219" s="54"/>
      <c r="J219" s="31"/>
      <c r="K219" s="31"/>
      <c r="L219" s="28"/>
    </row>
    <row r="220" spans="1:12" x14ac:dyDescent="0.2">
      <c r="A220" s="55" t="s">
        <v>16</v>
      </c>
      <c r="B220" s="56"/>
      <c r="C220" s="56"/>
      <c r="D220" s="56"/>
      <c r="E220" s="56"/>
      <c r="F220" s="56"/>
      <c r="G220" s="56"/>
      <c r="H220" s="56"/>
      <c r="I220" s="57"/>
      <c r="J220" s="36">
        <f t="shared" ref="J220:L220" si="64">SUM(J217:J219)</f>
        <v>0</v>
      </c>
      <c r="K220" s="36">
        <f t="shared" si="64"/>
        <v>0</v>
      </c>
      <c r="L220" s="36">
        <f t="shared" si="64"/>
        <v>0</v>
      </c>
    </row>
    <row r="221" spans="1:12" x14ac:dyDescent="0.2">
      <c r="A221" s="27">
        <v>36</v>
      </c>
      <c r="B221" s="28">
        <v>3852</v>
      </c>
      <c r="C221" s="28" t="s">
        <v>11</v>
      </c>
      <c r="D221" s="29" t="s">
        <v>48</v>
      </c>
      <c r="E221" s="44" t="s">
        <v>362</v>
      </c>
      <c r="F221" s="31" t="s">
        <v>13</v>
      </c>
      <c r="G221" s="31">
        <v>5020</v>
      </c>
      <c r="H221" s="31" t="s">
        <v>14</v>
      </c>
      <c r="I221" s="31"/>
      <c r="J221" s="32">
        <f t="shared" ref="J221:K221" si="65">+J226</f>
        <v>0</v>
      </c>
      <c r="K221" s="33">
        <f t="shared" si="65"/>
        <v>0</v>
      </c>
      <c r="L221" s="38">
        <f>+I221+J221-K221</f>
        <v>0</v>
      </c>
    </row>
    <row r="222" spans="1:12" x14ac:dyDescent="0.2">
      <c r="A222" s="58" t="s">
        <v>15</v>
      </c>
      <c r="B222" s="58"/>
      <c r="C222" s="59" t="s">
        <v>3</v>
      </c>
      <c r="D222" s="59"/>
      <c r="E222" s="59"/>
      <c r="F222" s="59"/>
      <c r="G222" s="59"/>
      <c r="H222" s="59"/>
      <c r="I222" s="59"/>
      <c r="J222" s="35" t="s">
        <v>8</v>
      </c>
      <c r="K222" s="35" t="s">
        <v>9</v>
      </c>
      <c r="L222" s="35" t="s">
        <v>10</v>
      </c>
    </row>
    <row r="223" spans="1:12" x14ac:dyDescent="0.2">
      <c r="A223" s="52"/>
      <c r="B223" s="52"/>
      <c r="C223" s="54"/>
      <c r="D223" s="54"/>
      <c r="E223" s="54"/>
      <c r="F223" s="54"/>
      <c r="G223" s="54"/>
      <c r="H223" s="54"/>
      <c r="I223" s="54"/>
      <c r="J223" s="31"/>
      <c r="K223" s="31"/>
      <c r="L223" s="28"/>
    </row>
    <row r="224" spans="1:12" x14ac:dyDescent="0.2">
      <c r="A224" s="52"/>
      <c r="B224" s="52"/>
      <c r="C224" s="54"/>
      <c r="D224" s="54"/>
      <c r="E224" s="54"/>
      <c r="F224" s="54"/>
      <c r="G224" s="54"/>
      <c r="H224" s="54"/>
      <c r="I224" s="54"/>
      <c r="J224" s="31"/>
      <c r="K224" s="31"/>
      <c r="L224" s="28"/>
    </row>
    <row r="225" spans="1:12" x14ac:dyDescent="0.2">
      <c r="A225" s="52"/>
      <c r="B225" s="52"/>
      <c r="C225" s="54"/>
      <c r="D225" s="54"/>
      <c r="E225" s="54"/>
      <c r="F225" s="54"/>
      <c r="G225" s="54"/>
      <c r="H225" s="54"/>
      <c r="I225" s="54"/>
      <c r="J225" s="31"/>
      <c r="K225" s="31"/>
      <c r="L225" s="28"/>
    </row>
    <row r="226" spans="1:12" x14ac:dyDescent="0.2">
      <c r="A226" s="55" t="s">
        <v>16</v>
      </c>
      <c r="B226" s="56"/>
      <c r="C226" s="56"/>
      <c r="D226" s="56"/>
      <c r="E226" s="56"/>
      <c r="F226" s="56"/>
      <c r="G226" s="56"/>
      <c r="H226" s="56"/>
      <c r="I226" s="57"/>
      <c r="J226" s="36">
        <f t="shared" ref="J226:L226" si="66">SUM(J223:J225)</f>
        <v>0</v>
      </c>
      <c r="K226" s="36">
        <f t="shared" si="66"/>
        <v>0</v>
      </c>
      <c r="L226" s="36">
        <f t="shared" si="66"/>
        <v>0</v>
      </c>
    </row>
    <row r="227" spans="1:12" x14ac:dyDescent="0.2">
      <c r="A227" s="27">
        <v>37</v>
      </c>
      <c r="B227" s="28">
        <v>2834</v>
      </c>
      <c r="C227" s="28" t="s">
        <v>11</v>
      </c>
      <c r="D227" s="29" t="s">
        <v>49</v>
      </c>
      <c r="E227" s="44" t="s">
        <v>362</v>
      </c>
      <c r="F227" s="31" t="s">
        <v>13</v>
      </c>
      <c r="G227" s="31">
        <v>5020</v>
      </c>
      <c r="H227" s="31" t="s">
        <v>14</v>
      </c>
      <c r="I227" s="31">
        <v>11</v>
      </c>
      <c r="J227" s="32">
        <f t="shared" ref="J227:K227" si="67">+J232</f>
        <v>0</v>
      </c>
      <c r="K227" s="33">
        <f t="shared" si="67"/>
        <v>0</v>
      </c>
      <c r="L227" s="37">
        <f>+I227+J227-K227</f>
        <v>11</v>
      </c>
    </row>
    <row r="228" spans="1:12" x14ac:dyDescent="0.2">
      <c r="A228" s="58" t="s">
        <v>15</v>
      </c>
      <c r="B228" s="58"/>
      <c r="C228" s="59" t="s">
        <v>3</v>
      </c>
      <c r="D228" s="59"/>
      <c r="E228" s="59"/>
      <c r="F228" s="59"/>
      <c r="G228" s="59"/>
      <c r="H228" s="59"/>
      <c r="I228" s="59"/>
      <c r="J228" s="35" t="s">
        <v>8</v>
      </c>
      <c r="K228" s="35" t="s">
        <v>9</v>
      </c>
      <c r="L228" s="35" t="s">
        <v>10</v>
      </c>
    </row>
    <row r="229" spans="1:12" x14ac:dyDescent="0.2">
      <c r="A229" s="52"/>
      <c r="B229" s="52"/>
      <c r="C229" s="54"/>
      <c r="D229" s="54"/>
      <c r="E229" s="54"/>
      <c r="F229" s="54"/>
      <c r="G229" s="54"/>
      <c r="H229" s="54"/>
      <c r="I229" s="54"/>
      <c r="J229" s="31"/>
      <c r="K229" s="31"/>
      <c r="L229" s="28"/>
    </row>
    <row r="230" spans="1:12" x14ac:dyDescent="0.2">
      <c r="A230" s="52"/>
      <c r="B230" s="52"/>
      <c r="C230" s="54"/>
      <c r="D230" s="54"/>
      <c r="E230" s="54"/>
      <c r="F230" s="54"/>
      <c r="G230" s="54"/>
      <c r="H230" s="54"/>
      <c r="I230" s="54"/>
      <c r="J230" s="31"/>
      <c r="K230" s="31"/>
      <c r="L230" s="28"/>
    </row>
    <row r="231" spans="1:12" x14ac:dyDescent="0.2">
      <c r="A231" s="52"/>
      <c r="B231" s="52"/>
      <c r="C231" s="54"/>
      <c r="D231" s="54"/>
      <c r="E231" s="54"/>
      <c r="F231" s="54"/>
      <c r="G231" s="54"/>
      <c r="H231" s="54"/>
      <c r="I231" s="54"/>
      <c r="J231" s="31"/>
      <c r="K231" s="31"/>
      <c r="L231" s="28"/>
    </row>
    <row r="232" spans="1:12" x14ac:dyDescent="0.2">
      <c r="A232" s="55" t="s">
        <v>16</v>
      </c>
      <c r="B232" s="56"/>
      <c r="C232" s="56"/>
      <c r="D232" s="56"/>
      <c r="E232" s="56"/>
      <c r="F232" s="56"/>
      <c r="G232" s="56"/>
      <c r="H232" s="56"/>
      <c r="I232" s="57"/>
      <c r="J232" s="36">
        <f t="shared" ref="J232:L232" si="68">SUM(J229:J231)</f>
        <v>0</v>
      </c>
      <c r="K232" s="36">
        <f t="shared" si="68"/>
        <v>0</v>
      </c>
      <c r="L232" s="36">
        <f t="shared" si="68"/>
        <v>0</v>
      </c>
    </row>
    <row r="233" spans="1:12" x14ac:dyDescent="0.2">
      <c r="A233" s="27">
        <v>38</v>
      </c>
      <c r="B233" s="28">
        <v>1865</v>
      </c>
      <c r="C233" s="28" t="s">
        <v>11</v>
      </c>
      <c r="D233" s="29" t="s">
        <v>50</v>
      </c>
      <c r="E233" s="44" t="s">
        <v>362</v>
      </c>
      <c r="F233" s="31" t="s">
        <v>13</v>
      </c>
      <c r="G233" s="31">
        <v>5020</v>
      </c>
      <c r="H233" s="31" t="s">
        <v>14</v>
      </c>
      <c r="I233" s="31"/>
      <c r="J233" s="32">
        <f t="shared" ref="J233:K233" si="69">+J238</f>
        <v>0</v>
      </c>
      <c r="K233" s="33">
        <f t="shared" si="69"/>
        <v>0</v>
      </c>
      <c r="L233" s="38">
        <f>+I233+J233-K233</f>
        <v>0</v>
      </c>
    </row>
    <row r="234" spans="1:12" x14ac:dyDescent="0.2">
      <c r="A234" s="58" t="s">
        <v>15</v>
      </c>
      <c r="B234" s="58"/>
      <c r="C234" s="59" t="s">
        <v>3</v>
      </c>
      <c r="D234" s="59"/>
      <c r="E234" s="59"/>
      <c r="F234" s="59"/>
      <c r="G234" s="59"/>
      <c r="H234" s="59"/>
      <c r="I234" s="59"/>
      <c r="J234" s="35" t="s">
        <v>8</v>
      </c>
      <c r="K234" s="35" t="s">
        <v>9</v>
      </c>
      <c r="L234" s="35" t="s">
        <v>10</v>
      </c>
    </row>
    <row r="235" spans="1:12" x14ac:dyDescent="0.2">
      <c r="A235" s="52"/>
      <c r="B235" s="52"/>
      <c r="C235" s="54"/>
      <c r="D235" s="54"/>
      <c r="E235" s="54"/>
      <c r="F235" s="54"/>
      <c r="G235" s="54"/>
      <c r="H235" s="54"/>
      <c r="I235" s="54"/>
      <c r="J235" s="31"/>
      <c r="K235" s="31"/>
      <c r="L235" s="28"/>
    </row>
    <row r="236" spans="1:12" x14ac:dyDescent="0.2">
      <c r="A236" s="52"/>
      <c r="B236" s="52"/>
      <c r="C236" s="54"/>
      <c r="D236" s="54"/>
      <c r="E236" s="54"/>
      <c r="F236" s="54"/>
      <c r="G236" s="54"/>
      <c r="H236" s="54"/>
      <c r="I236" s="54"/>
      <c r="J236" s="31"/>
      <c r="K236" s="31"/>
      <c r="L236" s="28"/>
    </row>
    <row r="237" spans="1:12" x14ac:dyDescent="0.2">
      <c r="A237" s="52"/>
      <c r="B237" s="52"/>
      <c r="C237" s="54"/>
      <c r="D237" s="54"/>
      <c r="E237" s="54"/>
      <c r="F237" s="54"/>
      <c r="G237" s="54"/>
      <c r="H237" s="54"/>
      <c r="I237" s="54"/>
      <c r="J237" s="31"/>
      <c r="K237" s="31"/>
      <c r="L237" s="28"/>
    </row>
    <row r="238" spans="1:12" x14ac:dyDescent="0.2">
      <c r="A238" s="55" t="s">
        <v>16</v>
      </c>
      <c r="B238" s="56"/>
      <c r="C238" s="56"/>
      <c r="D238" s="56"/>
      <c r="E238" s="56"/>
      <c r="F238" s="56"/>
      <c r="G238" s="56"/>
      <c r="H238" s="56"/>
      <c r="I238" s="57"/>
      <c r="J238" s="36">
        <f t="shared" ref="J238:L238" si="70">SUM(J235:J237)</f>
        <v>0</v>
      </c>
      <c r="K238" s="36">
        <f t="shared" si="70"/>
        <v>0</v>
      </c>
      <c r="L238" s="36">
        <f t="shared" si="70"/>
        <v>0</v>
      </c>
    </row>
    <row r="239" spans="1:12" x14ac:dyDescent="0.2">
      <c r="A239" s="27">
        <v>39</v>
      </c>
      <c r="B239" s="28">
        <v>3894</v>
      </c>
      <c r="C239" s="28" t="s">
        <v>11</v>
      </c>
      <c r="D239" s="29" t="s">
        <v>51</v>
      </c>
      <c r="E239" s="44" t="s">
        <v>362</v>
      </c>
      <c r="F239" s="31" t="s">
        <v>13</v>
      </c>
      <c r="G239" s="31" t="s">
        <v>52</v>
      </c>
      <c r="H239" s="31" t="s">
        <v>14</v>
      </c>
      <c r="I239" s="31">
        <v>3</v>
      </c>
      <c r="J239" s="32">
        <f t="shared" ref="J239:K239" si="71">+J244</f>
        <v>0</v>
      </c>
      <c r="K239" s="33">
        <f t="shared" si="71"/>
        <v>0</v>
      </c>
      <c r="L239" s="37">
        <f>+I239+J239-K239</f>
        <v>3</v>
      </c>
    </row>
    <row r="240" spans="1:12" x14ac:dyDescent="0.2">
      <c r="A240" s="58" t="s">
        <v>15</v>
      </c>
      <c r="B240" s="58"/>
      <c r="C240" s="59" t="s">
        <v>3</v>
      </c>
      <c r="D240" s="59"/>
      <c r="E240" s="59"/>
      <c r="F240" s="59"/>
      <c r="G240" s="59"/>
      <c r="H240" s="59"/>
      <c r="I240" s="59"/>
      <c r="J240" s="35" t="s">
        <v>8</v>
      </c>
      <c r="K240" s="35" t="s">
        <v>9</v>
      </c>
      <c r="L240" s="35" t="s">
        <v>10</v>
      </c>
    </row>
    <row r="241" spans="1:12" x14ac:dyDescent="0.2">
      <c r="A241" s="52"/>
      <c r="B241" s="52"/>
      <c r="C241" s="54"/>
      <c r="D241" s="54"/>
      <c r="E241" s="54"/>
      <c r="F241" s="54"/>
      <c r="G241" s="54"/>
      <c r="H241" s="54"/>
      <c r="I241" s="54"/>
      <c r="J241" s="31"/>
      <c r="K241" s="31"/>
      <c r="L241" s="28"/>
    </row>
    <row r="242" spans="1:12" x14ac:dyDescent="0.2">
      <c r="A242" s="52"/>
      <c r="B242" s="52"/>
      <c r="C242" s="54"/>
      <c r="D242" s="54"/>
      <c r="E242" s="54"/>
      <c r="F242" s="54"/>
      <c r="G242" s="54"/>
      <c r="H242" s="54"/>
      <c r="I242" s="54"/>
      <c r="J242" s="31"/>
      <c r="K242" s="31"/>
      <c r="L242" s="28"/>
    </row>
    <row r="243" spans="1:12" x14ac:dyDescent="0.2">
      <c r="A243" s="52"/>
      <c r="B243" s="52"/>
      <c r="C243" s="54"/>
      <c r="D243" s="54"/>
      <c r="E243" s="54"/>
      <c r="F243" s="54"/>
      <c r="G243" s="54"/>
      <c r="H243" s="54"/>
      <c r="I243" s="54"/>
      <c r="J243" s="31"/>
      <c r="K243" s="31"/>
      <c r="L243" s="28"/>
    </row>
    <row r="244" spans="1:12" x14ac:dyDescent="0.2">
      <c r="A244" s="55" t="s">
        <v>16</v>
      </c>
      <c r="B244" s="56"/>
      <c r="C244" s="56"/>
      <c r="D244" s="56"/>
      <c r="E244" s="56"/>
      <c r="F244" s="56"/>
      <c r="G244" s="56"/>
      <c r="H244" s="56"/>
      <c r="I244" s="57"/>
      <c r="J244" s="36">
        <f t="shared" ref="J244:L244" si="72">SUM(J241:J243)</f>
        <v>0</v>
      </c>
      <c r="K244" s="36">
        <f t="shared" si="72"/>
        <v>0</v>
      </c>
      <c r="L244" s="36">
        <f t="shared" si="72"/>
        <v>0</v>
      </c>
    </row>
    <row r="245" spans="1:12" x14ac:dyDescent="0.2">
      <c r="A245" s="27">
        <v>40</v>
      </c>
      <c r="B245" s="28">
        <v>3892</v>
      </c>
      <c r="C245" s="28" t="s">
        <v>11</v>
      </c>
      <c r="D245" s="29" t="s">
        <v>53</v>
      </c>
      <c r="E245" s="44" t="s">
        <v>362</v>
      </c>
      <c r="F245" s="31" t="s">
        <v>13</v>
      </c>
      <c r="G245" s="31" t="s">
        <v>54</v>
      </c>
      <c r="H245" s="31" t="s">
        <v>14</v>
      </c>
      <c r="I245" s="31"/>
      <c r="J245" s="32">
        <f t="shared" ref="J245:K245" si="73">+J250</f>
        <v>0</v>
      </c>
      <c r="K245" s="33">
        <f t="shared" si="73"/>
        <v>0</v>
      </c>
      <c r="L245" s="38">
        <f>+I245+J245-K245</f>
        <v>0</v>
      </c>
    </row>
    <row r="246" spans="1:12" x14ac:dyDescent="0.2">
      <c r="A246" s="58" t="s">
        <v>15</v>
      </c>
      <c r="B246" s="58"/>
      <c r="C246" s="59" t="s">
        <v>3</v>
      </c>
      <c r="D246" s="59"/>
      <c r="E246" s="59"/>
      <c r="F246" s="59"/>
      <c r="G246" s="59"/>
      <c r="H246" s="59"/>
      <c r="I246" s="59"/>
      <c r="J246" s="35" t="s">
        <v>8</v>
      </c>
      <c r="K246" s="35" t="s">
        <v>9</v>
      </c>
      <c r="L246" s="35" t="s">
        <v>10</v>
      </c>
    </row>
    <row r="247" spans="1:12" x14ac:dyDescent="0.2">
      <c r="A247" s="52"/>
      <c r="B247" s="52"/>
      <c r="C247" s="54"/>
      <c r="D247" s="54"/>
      <c r="E247" s="54"/>
      <c r="F247" s="54"/>
      <c r="G247" s="54"/>
      <c r="H247" s="54"/>
      <c r="I247" s="54"/>
      <c r="J247" s="31"/>
      <c r="K247" s="31"/>
      <c r="L247" s="28"/>
    </row>
    <row r="248" spans="1:12" x14ac:dyDescent="0.2">
      <c r="A248" s="52"/>
      <c r="B248" s="52"/>
      <c r="C248" s="54"/>
      <c r="D248" s="54"/>
      <c r="E248" s="54"/>
      <c r="F248" s="54"/>
      <c r="G248" s="54"/>
      <c r="H248" s="54"/>
      <c r="I248" s="54"/>
      <c r="J248" s="31"/>
      <c r="K248" s="31"/>
      <c r="L248" s="28"/>
    </row>
    <row r="249" spans="1:12" x14ac:dyDescent="0.2">
      <c r="A249" s="52"/>
      <c r="B249" s="52"/>
      <c r="C249" s="54"/>
      <c r="D249" s="54"/>
      <c r="E249" s="54"/>
      <c r="F249" s="54"/>
      <c r="G249" s="54"/>
      <c r="H249" s="54"/>
      <c r="I249" s="54"/>
      <c r="J249" s="31"/>
      <c r="K249" s="31"/>
      <c r="L249" s="28"/>
    </row>
    <row r="250" spans="1:12" x14ac:dyDescent="0.2">
      <c r="A250" s="55" t="s">
        <v>16</v>
      </c>
      <c r="B250" s="56"/>
      <c r="C250" s="56"/>
      <c r="D250" s="56"/>
      <c r="E250" s="56"/>
      <c r="F250" s="56"/>
      <c r="G250" s="56"/>
      <c r="H250" s="56"/>
      <c r="I250" s="57"/>
      <c r="J250" s="36">
        <f t="shared" ref="J250:L250" si="74">SUM(J247:J249)</f>
        <v>0</v>
      </c>
      <c r="K250" s="36">
        <f t="shared" si="74"/>
        <v>0</v>
      </c>
      <c r="L250" s="36">
        <f t="shared" si="74"/>
        <v>0</v>
      </c>
    </row>
    <row r="251" spans="1:12" x14ac:dyDescent="0.2">
      <c r="A251" s="27">
        <v>41</v>
      </c>
      <c r="B251" s="28">
        <v>3895</v>
      </c>
      <c r="C251" s="28" t="s">
        <v>11</v>
      </c>
      <c r="D251" s="29" t="s">
        <v>55</v>
      </c>
      <c r="E251" s="44" t="s">
        <v>362</v>
      </c>
      <c r="F251" s="31" t="s">
        <v>34</v>
      </c>
      <c r="G251" s="31" t="s">
        <v>56</v>
      </c>
      <c r="H251" s="31" t="s">
        <v>14</v>
      </c>
      <c r="I251" s="31">
        <v>2</v>
      </c>
      <c r="J251" s="32">
        <f t="shared" ref="J251:K251" si="75">+J256</f>
        <v>0</v>
      </c>
      <c r="K251" s="33">
        <f t="shared" si="75"/>
        <v>1</v>
      </c>
      <c r="L251" s="37">
        <f>+I251+J251-K251</f>
        <v>1</v>
      </c>
    </row>
    <row r="252" spans="1:12" x14ac:dyDescent="0.2">
      <c r="A252" s="58" t="s">
        <v>15</v>
      </c>
      <c r="B252" s="58"/>
      <c r="C252" s="59" t="s">
        <v>3</v>
      </c>
      <c r="D252" s="59"/>
      <c r="E252" s="59"/>
      <c r="F252" s="59"/>
      <c r="G252" s="59"/>
      <c r="H252" s="59"/>
      <c r="I252" s="59"/>
      <c r="J252" s="35" t="s">
        <v>8</v>
      </c>
      <c r="K252" s="35" t="s">
        <v>9</v>
      </c>
      <c r="L252" s="35" t="s">
        <v>10</v>
      </c>
    </row>
    <row r="253" spans="1:12" x14ac:dyDescent="0.2">
      <c r="A253" s="52">
        <v>46107</v>
      </c>
      <c r="B253" s="52"/>
      <c r="C253" s="53" t="s">
        <v>408</v>
      </c>
      <c r="D253" s="54"/>
      <c r="E253" s="54"/>
      <c r="F253" s="54"/>
      <c r="G253" s="54"/>
      <c r="H253" s="54"/>
      <c r="I253" s="54"/>
      <c r="J253" s="31"/>
      <c r="K253" s="31">
        <v>1</v>
      </c>
      <c r="L253" s="28"/>
    </row>
    <row r="254" spans="1:12" x14ac:dyDescent="0.2">
      <c r="A254" s="52"/>
      <c r="B254" s="52"/>
      <c r="C254" s="54"/>
      <c r="D254" s="54"/>
      <c r="E254" s="54"/>
      <c r="F254" s="54"/>
      <c r="G254" s="54"/>
      <c r="H254" s="54"/>
      <c r="I254" s="54"/>
      <c r="J254" s="31"/>
      <c r="K254" s="31"/>
      <c r="L254" s="28"/>
    </row>
    <row r="255" spans="1:12" x14ac:dyDescent="0.2">
      <c r="A255" s="52"/>
      <c r="B255" s="52"/>
      <c r="C255" s="54"/>
      <c r="D255" s="54"/>
      <c r="E255" s="54"/>
      <c r="F255" s="54"/>
      <c r="G255" s="54"/>
      <c r="H255" s="54"/>
      <c r="I255" s="54"/>
      <c r="J255" s="31"/>
      <c r="K255" s="31"/>
      <c r="L255" s="28"/>
    </row>
    <row r="256" spans="1:12" x14ac:dyDescent="0.2">
      <c r="A256" s="55" t="s">
        <v>16</v>
      </c>
      <c r="B256" s="56"/>
      <c r="C256" s="56"/>
      <c r="D256" s="56"/>
      <c r="E256" s="56"/>
      <c r="F256" s="56"/>
      <c r="G256" s="56"/>
      <c r="H256" s="56"/>
      <c r="I256" s="57"/>
      <c r="J256" s="36">
        <f t="shared" ref="J256:L256" si="76">SUM(J253:J255)</f>
        <v>0</v>
      </c>
      <c r="K256" s="36">
        <f t="shared" si="76"/>
        <v>1</v>
      </c>
      <c r="L256" s="36">
        <f t="shared" si="76"/>
        <v>0</v>
      </c>
    </row>
    <row r="257" spans="1:12" x14ac:dyDescent="0.2">
      <c r="A257" s="27">
        <v>42</v>
      </c>
      <c r="B257" s="28">
        <v>2837</v>
      </c>
      <c r="C257" s="28" t="s">
        <v>11</v>
      </c>
      <c r="D257" s="29" t="s">
        <v>57</v>
      </c>
      <c r="E257" s="44" t="s">
        <v>362</v>
      </c>
      <c r="F257" s="31" t="s">
        <v>13</v>
      </c>
      <c r="G257" s="31" t="s">
        <v>56</v>
      </c>
      <c r="H257" s="31" t="s">
        <v>14</v>
      </c>
      <c r="I257" s="31">
        <v>1</v>
      </c>
      <c r="J257" s="32">
        <f t="shared" ref="J257:K257" si="77">+J262</f>
        <v>0</v>
      </c>
      <c r="K257" s="33">
        <f t="shared" si="77"/>
        <v>0</v>
      </c>
      <c r="L257" s="38">
        <f>+I257+J257-K257</f>
        <v>1</v>
      </c>
    </row>
    <row r="258" spans="1:12" x14ac:dyDescent="0.2">
      <c r="A258" s="58" t="s">
        <v>15</v>
      </c>
      <c r="B258" s="58"/>
      <c r="C258" s="59" t="s">
        <v>3</v>
      </c>
      <c r="D258" s="59"/>
      <c r="E258" s="59"/>
      <c r="F258" s="59"/>
      <c r="G258" s="59"/>
      <c r="H258" s="59"/>
      <c r="I258" s="59"/>
      <c r="J258" s="35" t="s">
        <v>8</v>
      </c>
      <c r="K258" s="35" t="s">
        <v>9</v>
      </c>
      <c r="L258" s="35" t="s">
        <v>10</v>
      </c>
    </row>
    <row r="259" spans="1:12" x14ac:dyDescent="0.2">
      <c r="A259" s="52"/>
      <c r="B259" s="52"/>
      <c r="C259" s="54"/>
      <c r="D259" s="54"/>
      <c r="E259" s="54"/>
      <c r="F259" s="54"/>
      <c r="G259" s="54"/>
      <c r="H259" s="54"/>
      <c r="I259" s="54"/>
      <c r="J259" s="31"/>
      <c r="K259" s="31"/>
      <c r="L259" s="28"/>
    </row>
    <row r="260" spans="1:12" x14ac:dyDescent="0.2">
      <c r="A260" s="52"/>
      <c r="B260" s="52"/>
      <c r="C260" s="54"/>
      <c r="D260" s="54"/>
      <c r="E260" s="54"/>
      <c r="F260" s="54"/>
      <c r="G260" s="54"/>
      <c r="H260" s="54"/>
      <c r="I260" s="54"/>
      <c r="J260" s="31"/>
      <c r="K260" s="31"/>
      <c r="L260" s="28"/>
    </row>
    <row r="261" spans="1:12" x14ac:dyDescent="0.2">
      <c r="A261" s="52"/>
      <c r="B261" s="52"/>
      <c r="C261" s="54"/>
      <c r="D261" s="54"/>
      <c r="E261" s="54"/>
      <c r="F261" s="54"/>
      <c r="G261" s="54"/>
      <c r="H261" s="54"/>
      <c r="I261" s="54"/>
      <c r="J261" s="31"/>
      <c r="K261" s="31"/>
      <c r="L261" s="28"/>
    </row>
    <row r="262" spans="1:12" x14ac:dyDescent="0.2">
      <c r="A262" s="55" t="s">
        <v>16</v>
      </c>
      <c r="B262" s="56"/>
      <c r="C262" s="56"/>
      <c r="D262" s="56"/>
      <c r="E262" s="56"/>
      <c r="F262" s="56"/>
      <c r="G262" s="56"/>
      <c r="H262" s="56"/>
      <c r="I262" s="57"/>
      <c r="J262" s="36">
        <f t="shared" ref="J262:L262" si="78">SUM(J259:J261)</f>
        <v>0</v>
      </c>
      <c r="K262" s="36">
        <f t="shared" si="78"/>
        <v>0</v>
      </c>
      <c r="L262" s="36">
        <f t="shared" si="78"/>
        <v>0</v>
      </c>
    </row>
    <row r="263" spans="1:12" x14ac:dyDescent="0.2">
      <c r="A263" s="27">
        <v>43</v>
      </c>
      <c r="B263" s="28"/>
      <c r="C263" s="28" t="s">
        <v>11</v>
      </c>
      <c r="D263" s="29" t="s">
        <v>309</v>
      </c>
      <c r="E263" s="44" t="s">
        <v>362</v>
      </c>
      <c r="F263" s="31"/>
      <c r="G263" s="31"/>
      <c r="H263" s="31" t="s">
        <v>14</v>
      </c>
      <c r="I263" s="31">
        <v>0</v>
      </c>
      <c r="J263" s="32">
        <f t="shared" ref="J263:K263" si="79">+J268</f>
        <v>2</v>
      </c>
      <c r="K263" s="33">
        <f t="shared" si="79"/>
        <v>1</v>
      </c>
      <c r="L263" s="34">
        <f>+I263+J263-K263</f>
        <v>1</v>
      </c>
    </row>
    <row r="264" spans="1:12" x14ac:dyDescent="0.2">
      <c r="A264" s="58" t="s">
        <v>15</v>
      </c>
      <c r="B264" s="58"/>
      <c r="C264" s="59" t="s">
        <v>3</v>
      </c>
      <c r="D264" s="59"/>
      <c r="E264" s="59"/>
      <c r="F264" s="59"/>
      <c r="G264" s="59"/>
      <c r="H264" s="59"/>
      <c r="I264" s="59"/>
      <c r="J264" s="35" t="s">
        <v>8</v>
      </c>
      <c r="K264" s="35" t="s">
        <v>9</v>
      </c>
      <c r="L264" s="35" t="s">
        <v>10</v>
      </c>
    </row>
    <row r="265" spans="1:12" x14ac:dyDescent="0.2">
      <c r="A265" s="52">
        <v>46052</v>
      </c>
      <c r="B265" s="52"/>
      <c r="C265" s="54" t="s">
        <v>277</v>
      </c>
      <c r="D265" s="54"/>
      <c r="E265" s="54"/>
      <c r="F265" s="54"/>
      <c r="G265" s="54"/>
      <c r="H265" s="54"/>
      <c r="I265" s="54"/>
      <c r="J265" s="31">
        <v>2</v>
      </c>
      <c r="K265" s="31"/>
      <c r="L265" s="28"/>
    </row>
    <row r="266" spans="1:12" x14ac:dyDescent="0.2">
      <c r="A266" s="52">
        <v>46093</v>
      </c>
      <c r="B266" s="52"/>
      <c r="C266" s="54" t="s">
        <v>341</v>
      </c>
      <c r="D266" s="54"/>
      <c r="E266" s="54"/>
      <c r="F266" s="54"/>
      <c r="G266" s="54"/>
      <c r="H266" s="54"/>
      <c r="I266" s="54"/>
      <c r="J266" s="31"/>
      <c r="K266" s="31">
        <v>1</v>
      </c>
      <c r="L266" s="28"/>
    </row>
    <row r="267" spans="1:12" x14ac:dyDescent="0.2">
      <c r="A267" s="52"/>
      <c r="B267" s="52"/>
      <c r="C267" s="54"/>
      <c r="D267" s="54"/>
      <c r="E267" s="54"/>
      <c r="F267" s="54"/>
      <c r="G267" s="54"/>
      <c r="H267" s="54"/>
      <c r="I267" s="54"/>
      <c r="J267" s="31"/>
      <c r="K267" s="31"/>
      <c r="L267" s="28"/>
    </row>
    <row r="268" spans="1:12" x14ac:dyDescent="0.2">
      <c r="A268" s="55" t="s">
        <v>16</v>
      </c>
      <c r="B268" s="56"/>
      <c r="C268" s="56"/>
      <c r="D268" s="56"/>
      <c r="E268" s="56"/>
      <c r="F268" s="56"/>
      <c r="G268" s="56"/>
      <c r="H268" s="56"/>
      <c r="I268" s="57"/>
      <c r="J268" s="36">
        <f t="shared" ref="J268:L268" si="80">SUM(J265:J267)</f>
        <v>2</v>
      </c>
      <c r="K268" s="36">
        <f t="shared" si="80"/>
        <v>1</v>
      </c>
      <c r="L268" s="36">
        <f t="shared" si="80"/>
        <v>0</v>
      </c>
    </row>
    <row r="269" spans="1:12" x14ac:dyDescent="0.2">
      <c r="A269" s="27">
        <v>44</v>
      </c>
      <c r="B269" s="28"/>
      <c r="C269" s="28" t="s">
        <v>11</v>
      </c>
      <c r="D269" s="29" t="s">
        <v>303</v>
      </c>
      <c r="E269" s="44" t="s">
        <v>362</v>
      </c>
      <c r="F269" s="31" t="s">
        <v>13</v>
      </c>
      <c r="G269" s="31"/>
      <c r="H269" s="31" t="s">
        <v>14</v>
      </c>
      <c r="I269" s="31">
        <v>0</v>
      </c>
      <c r="J269" s="32">
        <f t="shared" ref="J269:K269" si="81">+J274</f>
        <v>7</v>
      </c>
      <c r="K269" s="33">
        <f t="shared" si="81"/>
        <v>0</v>
      </c>
      <c r="L269" s="34">
        <f>+I269+J269-K269</f>
        <v>7</v>
      </c>
    </row>
    <row r="270" spans="1:12" x14ac:dyDescent="0.2">
      <c r="A270" s="58" t="s">
        <v>15</v>
      </c>
      <c r="B270" s="58"/>
      <c r="C270" s="59" t="s">
        <v>3</v>
      </c>
      <c r="D270" s="59"/>
      <c r="E270" s="59"/>
      <c r="F270" s="59"/>
      <c r="G270" s="59"/>
      <c r="H270" s="59"/>
      <c r="I270" s="59"/>
      <c r="J270" s="35" t="s">
        <v>8</v>
      </c>
      <c r="K270" s="35" t="s">
        <v>9</v>
      </c>
      <c r="L270" s="35" t="s">
        <v>10</v>
      </c>
    </row>
    <row r="271" spans="1:12" x14ac:dyDescent="0.2">
      <c r="A271" s="52">
        <v>46052</v>
      </c>
      <c r="B271" s="52"/>
      <c r="C271" s="54" t="s">
        <v>277</v>
      </c>
      <c r="D271" s="54"/>
      <c r="E271" s="54"/>
      <c r="F271" s="54"/>
      <c r="G271" s="54"/>
      <c r="H271" s="54"/>
      <c r="I271" s="54"/>
      <c r="J271" s="31">
        <v>7</v>
      </c>
      <c r="K271" s="31"/>
      <c r="L271" s="28"/>
    </row>
    <row r="272" spans="1:12" x14ac:dyDescent="0.2">
      <c r="A272" s="52"/>
      <c r="B272" s="52"/>
      <c r="C272" s="54"/>
      <c r="D272" s="54"/>
      <c r="E272" s="54"/>
      <c r="F272" s="54"/>
      <c r="G272" s="54"/>
      <c r="H272" s="54"/>
      <c r="I272" s="54"/>
      <c r="J272" s="31"/>
      <c r="K272" s="31"/>
      <c r="L272" s="28"/>
    </row>
    <row r="273" spans="1:12" x14ac:dyDescent="0.2">
      <c r="A273" s="52"/>
      <c r="B273" s="52"/>
      <c r="C273" s="54"/>
      <c r="D273" s="54"/>
      <c r="E273" s="54"/>
      <c r="F273" s="54"/>
      <c r="G273" s="54"/>
      <c r="H273" s="54"/>
      <c r="I273" s="54"/>
      <c r="J273" s="31"/>
      <c r="K273" s="31"/>
      <c r="L273" s="28"/>
    </row>
    <row r="274" spans="1:12" x14ac:dyDescent="0.2">
      <c r="A274" s="55" t="s">
        <v>16</v>
      </c>
      <c r="B274" s="56"/>
      <c r="C274" s="56"/>
      <c r="D274" s="56"/>
      <c r="E274" s="56"/>
      <c r="F274" s="56"/>
      <c r="G274" s="56"/>
      <c r="H274" s="56"/>
      <c r="I274" s="57"/>
      <c r="J274" s="36">
        <f t="shared" ref="J274:L274" si="82">SUM(J271:J273)</f>
        <v>7</v>
      </c>
      <c r="K274" s="36">
        <f t="shared" si="82"/>
        <v>0</v>
      </c>
      <c r="L274" s="36">
        <f t="shared" si="82"/>
        <v>0</v>
      </c>
    </row>
    <row r="275" spans="1:12" x14ac:dyDescent="0.2">
      <c r="A275" s="27">
        <v>45</v>
      </c>
      <c r="B275" s="28"/>
      <c r="C275" s="28" t="s">
        <v>11</v>
      </c>
      <c r="D275" s="29" t="s">
        <v>295</v>
      </c>
      <c r="E275" s="44" t="s">
        <v>362</v>
      </c>
      <c r="F275" s="31"/>
      <c r="G275" s="31"/>
      <c r="H275" s="31" t="s">
        <v>14</v>
      </c>
      <c r="I275" s="31">
        <v>0</v>
      </c>
      <c r="J275" s="32">
        <f t="shared" ref="J275:K275" si="83">+J282</f>
        <v>15</v>
      </c>
      <c r="K275" s="33">
        <f t="shared" si="83"/>
        <v>7</v>
      </c>
      <c r="L275" s="34">
        <f>+I275+J275-K275</f>
        <v>8</v>
      </c>
    </row>
    <row r="276" spans="1:12" x14ac:dyDescent="0.2">
      <c r="A276" s="58" t="s">
        <v>15</v>
      </c>
      <c r="B276" s="58"/>
      <c r="C276" s="59" t="s">
        <v>3</v>
      </c>
      <c r="D276" s="59"/>
      <c r="E276" s="59"/>
      <c r="F276" s="59"/>
      <c r="G276" s="59"/>
      <c r="H276" s="59"/>
      <c r="I276" s="59"/>
      <c r="J276" s="35" t="s">
        <v>8</v>
      </c>
      <c r="K276" s="35" t="s">
        <v>9</v>
      </c>
      <c r="L276" s="35" t="s">
        <v>10</v>
      </c>
    </row>
    <row r="277" spans="1:12" x14ac:dyDescent="0.2">
      <c r="A277" s="52">
        <v>46052</v>
      </c>
      <c r="B277" s="52"/>
      <c r="C277" s="54" t="s">
        <v>277</v>
      </c>
      <c r="D277" s="54"/>
      <c r="E277" s="54"/>
      <c r="F277" s="54"/>
      <c r="G277" s="54"/>
      <c r="H277" s="54"/>
      <c r="I277" s="54"/>
      <c r="J277" s="31">
        <f>90/6</f>
        <v>15</v>
      </c>
      <c r="K277" s="31"/>
      <c r="L277" s="28"/>
    </row>
    <row r="278" spans="1:12" x14ac:dyDescent="0.2">
      <c r="A278" s="52">
        <v>46093</v>
      </c>
      <c r="B278" s="52"/>
      <c r="C278" s="54" t="s">
        <v>338</v>
      </c>
      <c r="D278" s="54"/>
      <c r="E278" s="54"/>
      <c r="F278" s="54"/>
      <c r="G278" s="54"/>
      <c r="H278" s="54"/>
      <c r="I278" s="54"/>
      <c r="J278" s="31"/>
      <c r="K278" s="31">
        <v>1</v>
      </c>
      <c r="L278" s="28"/>
    </row>
    <row r="279" spans="1:12" x14ac:dyDescent="0.2">
      <c r="A279" s="52">
        <v>46100</v>
      </c>
      <c r="B279" s="52"/>
      <c r="C279" s="54" t="s">
        <v>338</v>
      </c>
      <c r="D279" s="54"/>
      <c r="E279" s="54"/>
      <c r="F279" s="54"/>
      <c r="G279" s="54"/>
      <c r="H279" s="54"/>
      <c r="I279" s="54"/>
      <c r="J279" s="31"/>
      <c r="K279" s="31">
        <v>2</v>
      </c>
      <c r="L279" s="28"/>
    </row>
    <row r="280" spans="1:12" x14ac:dyDescent="0.2">
      <c r="A280" s="52">
        <v>46101</v>
      </c>
      <c r="B280" s="52"/>
      <c r="C280" s="54" t="s">
        <v>338</v>
      </c>
      <c r="D280" s="54"/>
      <c r="E280" s="54"/>
      <c r="F280" s="54"/>
      <c r="G280" s="54"/>
      <c r="H280" s="54"/>
      <c r="I280" s="54"/>
      <c r="J280" s="31"/>
      <c r="K280" s="31">
        <v>4</v>
      </c>
      <c r="L280" s="28"/>
    </row>
    <row r="281" spans="1:12" x14ac:dyDescent="0.2">
      <c r="A281" s="52"/>
      <c r="B281" s="52"/>
      <c r="C281" s="54"/>
      <c r="D281" s="54"/>
      <c r="E281" s="54"/>
      <c r="F281" s="54"/>
      <c r="G281" s="54"/>
      <c r="H281" s="54"/>
      <c r="I281" s="54"/>
      <c r="J281" s="31"/>
      <c r="K281" s="31"/>
      <c r="L281" s="28"/>
    </row>
    <row r="282" spans="1:12" x14ac:dyDescent="0.2">
      <c r="A282" s="55" t="s">
        <v>16</v>
      </c>
      <c r="B282" s="56"/>
      <c r="C282" s="56"/>
      <c r="D282" s="56"/>
      <c r="E282" s="56"/>
      <c r="F282" s="56"/>
      <c r="G282" s="56"/>
      <c r="H282" s="56"/>
      <c r="I282" s="57"/>
      <c r="J282" s="36">
        <f t="shared" ref="J282:L282" si="84">SUM(J277:J281)</f>
        <v>15</v>
      </c>
      <c r="K282" s="36">
        <f t="shared" si="84"/>
        <v>7</v>
      </c>
      <c r="L282" s="36">
        <f t="shared" si="84"/>
        <v>0</v>
      </c>
    </row>
    <row r="283" spans="1:12" x14ac:dyDescent="0.2">
      <c r="A283" s="27">
        <v>46</v>
      </c>
      <c r="B283" s="28"/>
      <c r="C283" s="28" t="s">
        <v>11</v>
      </c>
      <c r="D283" s="29" t="s">
        <v>296</v>
      </c>
      <c r="E283" s="44" t="s">
        <v>362</v>
      </c>
      <c r="F283" s="31"/>
      <c r="G283" s="31"/>
      <c r="H283" s="31" t="s">
        <v>14</v>
      </c>
      <c r="I283" s="31">
        <v>0</v>
      </c>
      <c r="J283" s="32">
        <f t="shared" ref="J283:K283" si="85">+J289</f>
        <v>6</v>
      </c>
      <c r="K283" s="33">
        <f t="shared" si="85"/>
        <v>2</v>
      </c>
      <c r="L283" s="34">
        <f>+I283+J283-K283</f>
        <v>4</v>
      </c>
    </row>
    <row r="284" spans="1:12" x14ac:dyDescent="0.2">
      <c r="A284" s="58" t="s">
        <v>15</v>
      </c>
      <c r="B284" s="58"/>
      <c r="C284" s="59" t="s">
        <v>3</v>
      </c>
      <c r="D284" s="59"/>
      <c r="E284" s="59"/>
      <c r="F284" s="59"/>
      <c r="G284" s="59"/>
      <c r="H284" s="59"/>
      <c r="I284" s="59"/>
      <c r="J284" s="35" t="s">
        <v>8</v>
      </c>
      <c r="K284" s="35" t="s">
        <v>9</v>
      </c>
      <c r="L284" s="35" t="s">
        <v>10</v>
      </c>
    </row>
    <row r="285" spans="1:12" x14ac:dyDescent="0.2">
      <c r="A285" s="52">
        <v>46052</v>
      </c>
      <c r="B285" s="52"/>
      <c r="C285" s="54" t="s">
        <v>277</v>
      </c>
      <c r="D285" s="54"/>
      <c r="E285" s="54"/>
      <c r="F285" s="54"/>
      <c r="G285" s="54"/>
      <c r="H285" s="54"/>
      <c r="I285" s="54"/>
      <c r="J285" s="31">
        <v>6</v>
      </c>
      <c r="K285" s="31"/>
      <c r="L285" s="28"/>
    </row>
    <row r="286" spans="1:12" x14ac:dyDescent="0.2">
      <c r="A286" s="52">
        <v>46093</v>
      </c>
      <c r="B286" s="52"/>
      <c r="C286" s="54" t="s">
        <v>338</v>
      </c>
      <c r="D286" s="54"/>
      <c r="E286" s="54"/>
      <c r="F286" s="54"/>
      <c r="G286" s="54"/>
      <c r="H286" s="54"/>
      <c r="I286" s="54"/>
      <c r="J286" s="31"/>
      <c r="K286" s="31">
        <v>1</v>
      </c>
      <c r="L286" s="28"/>
    </row>
    <row r="287" spans="1:12" x14ac:dyDescent="0.2">
      <c r="A287" s="52">
        <v>46101</v>
      </c>
      <c r="B287" s="52"/>
      <c r="C287" s="54" t="s">
        <v>338</v>
      </c>
      <c r="D287" s="54"/>
      <c r="E287" s="54"/>
      <c r="F287" s="54"/>
      <c r="G287" s="54"/>
      <c r="H287" s="54"/>
      <c r="I287" s="54"/>
      <c r="J287" s="31"/>
      <c r="K287" s="31">
        <v>1</v>
      </c>
      <c r="L287" s="28"/>
    </row>
    <row r="288" spans="1:12" x14ac:dyDescent="0.2">
      <c r="A288" s="52"/>
      <c r="B288" s="52"/>
      <c r="C288" s="54"/>
      <c r="D288" s="54"/>
      <c r="E288" s="54"/>
      <c r="F288" s="54"/>
      <c r="G288" s="54"/>
      <c r="H288" s="54"/>
      <c r="I288" s="54"/>
      <c r="J288" s="31"/>
      <c r="K288" s="31"/>
      <c r="L288" s="28"/>
    </row>
    <row r="289" spans="1:12" x14ac:dyDescent="0.2">
      <c r="A289" s="55" t="s">
        <v>16</v>
      </c>
      <c r="B289" s="56"/>
      <c r="C289" s="56"/>
      <c r="D289" s="56"/>
      <c r="E289" s="56"/>
      <c r="F289" s="56"/>
      <c r="G289" s="56"/>
      <c r="H289" s="56"/>
      <c r="I289" s="57"/>
      <c r="J289" s="36">
        <f t="shared" ref="J289:L289" si="86">SUM(J285:J288)</f>
        <v>6</v>
      </c>
      <c r="K289" s="36">
        <f t="shared" si="86"/>
        <v>2</v>
      </c>
      <c r="L289" s="36">
        <f t="shared" si="86"/>
        <v>0</v>
      </c>
    </row>
    <row r="290" spans="1:12" x14ac:dyDescent="0.2">
      <c r="A290" s="27">
        <v>47</v>
      </c>
      <c r="B290" s="28"/>
      <c r="C290" s="28" t="s">
        <v>11</v>
      </c>
      <c r="D290" s="29" t="s">
        <v>304</v>
      </c>
      <c r="E290" s="44" t="s">
        <v>362</v>
      </c>
      <c r="F290" s="31" t="s">
        <v>13</v>
      </c>
      <c r="G290" s="31"/>
      <c r="H290" s="31" t="s">
        <v>14</v>
      </c>
      <c r="I290" s="31">
        <v>1</v>
      </c>
      <c r="J290" s="32">
        <f t="shared" ref="J290:K290" si="87">+J295</f>
        <v>6</v>
      </c>
      <c r="K290" s="33">
        <f t="shared" si="87"/>
        <v>0</v>
      </c>
      <c r="L290" s="34">
        <f>+I290+J290-K290</f>
        <v>7</v>
      </c>
    </row>
    <row r="291" spans="1:12" x14ac:dyDescent="0.2">
      <c r="A291" s="58" t="s">
        <v>15</v>
      </c>
      <c r="B291" s="58"/>
      <c r="C291" s="59" t="s">
        <v>3</v>
      </c>
      <c r="D291" s="59"/>
      <c r="E291" s="59"/>
      <c r="F291" s="59"/>
      <c r="G291" s="59"/>
      <c r="H291" s="59"/>
      <c r="I291" s="59"/>
      <c r="J291" s="35" t="s">
        <v>8</v>
      </c>
      <c r="K291" s="35" t="s">
        <v>9</v>
      </c>
      <c r="L291" s="35" t="s">
        <v>10</v>
      </c>
    </row>
    <row r="292" spans="1:12" x14ac:dyDescent="0.2">
      <c r="A292" s="52">
        <v>46052</v>
      </c>
      <c r="B292" s="52"/>
      <c r="C292" s="54" t="s">
        <v>277</v>
      </c>
      <c r="D292" s="54"/>
      <c r="E292" s="54"/>
      <c r="F292" s="54"/>
      <c r="G292" s="54"/>
      <c r="H292" s="54"/>
      <c r="I292" s="54"/>
      <c r="J292" s="31">
        <v>6</v>
      </c>
      <c r="K292" s="31"/>
      <c r="L292" s="28"/>
    </row>
    <row r="293" spans="1:12" x14ac:dyDescent="0.2">
      <c r="A293" s="52"/>
      <c r="B293" s="52"/>
      <c r="C293" s="54"/>
      <c r="D293" s="54"/>
      <c r="E293" s="54"/>
      <c r="F293" s="54"/>
      <c r="G293" s="54"/>
      <c r="H293" s="54"/>
      <c r="I293" s="54"/>
      <c r="J293" s="31"/>
      <c r="K293" s="31"/>
      <c r="L293" s="28"/>
    </row>
    <row r="294" spans="1:12" x14ac:dyDescent="0.2">
      <c r="A294" s="52"/>
      <c r="B294" s="52"/>
      <c r="C294" s="54"/>
      <c r="D294" s="54"/>
      <c r="E294" s="54"/>
      <c r="F294" s="54"/>
      <c r="G294" s="54"/>
      <c r="H294" s="54"/>
      <c r="I294" s="54"/>
      <c r="J294" s="31"/>
      <c r="K294" s="31"/>
      <c r="L294" s="28"/>
    </row>
    <row r="295" spans="1:12" x14ac:dyDescent="0.2">
      <c r="A295" s="55" t="s">
        <v>16</v>
      </c>
      <c r="B295" s="56"/>
      <c r="C295" s="56"/>
      <c r="D295" s="56"/>
      <c r="E295" s="56"/>
      <c r="F295" s="56"/>
      <c r="G295" s="56"/>
      <c r="H295" s="56"/>
      <c r="I295" s="57"/>
      <c r="J295" s="36">
        <f>SUM(J292:J294)</f>
        <v>6</v>
      </c>
      <c r="K295" s="36">
        <f>SUM(K292:K294)</f>
        <v>0</v>
      </c>
      <c r="L295" s="36">
        <f>SUM(L292:L294)</f>
        <v>0</v>
      </c>
    </row>
    <row r="296" spans="1:12" x14ac:dyDescent="0.2">
      <c r="A296" s="27">
        <v>48</v>
      </c>
      <c r="B296" s="28"/>
      <c r="C296" s="28" t="s">
        <v>11</v>
      </c>
      <c r="D296" s="29" t="s">
        <v>320</v>
      </c>
      <c r="E296" s="44" t="s">
        <v>362</v>
      </c>
      <c r="F296" s="31"/>
      <c r="G296" s="31"/>
      <c r="H296" s="31" t="s">
        <v>14</v>
      </c>
      <c r="I296" s="31">
        <v>0</v>
      </c>
      <c r="J296" s="32">
        <f t="shared" ref="J296:K296" si="88">+J302</f>
        <v>3</v>
      </c>
      <c r="K296" s="33">
        <f t="shared" si="88"/>
        <v>2</v>
      </c>
      <c r="L296" s="34">
        <f>+I296+J296-K296</f>
        <v>1</v>
      </c>
    </row>
    <row r="297" spans="1:12" x14ac:dyDescent="0.2">
      <c r="A297" s="58" t="s">
        <v>15</v>
      </c>
      <c r="B297" s="58"/>
      <c r="C297" s="59" t="s">
        <v>3</v>
      </c>
      <c r="D297" s="59"/>
      <c r="E297" s="59"/>
      <c r="F297" s="59"/>
      <c r="G297" s="59"/>
      <c r="H297" s="59"/>
      <c r="I297" s="59"/>
      <c r="J297" s="35" t="s">
        <v>8</v>
      </c>
      <c r="K297" s="35" t="s">
        <v>9</v>
      </c>
      <c r="L297" s="35" t="s">
        <v>10</v>
      </c>
    </row>
    <row r="298" spans="1:12" x14ac:dyDescent="0.2">
      <c r="A298" s="52">
        <v>46052</v>
      </c>
      <c r="B298" s="52"/>
      <c r="C298" s="54" t="s">
        <v>277</v>
      </c>
      <c r="D298" s="54"/>
      <c r="E298" s="54"/>
      <c r="F298" s="54"/>
      <c r="G298" s="54"/>
      <c r="H298" s="54"/>
      <c r="I298" s="54"/>
      <c r="J298" s="31">
        <v>3</v>
      </c>
      <c r="K298" s="31"/>
      <c r="L298" s="28"/>
    </row>
    <row r="299" spans="1:12" x14ac:dyDescent="0.2">
      <c r="A299" s="52">
        <v>46083</v>
      </c>
      <c r="B299" s="52"/>
      <c r="C299" s="54" t="s">
        <v>339</v>
      </c>
      <c r="D299" s="54"/>
      <c r="E299" s="54"/>
      <c r="F299" s="54"/>
      <c r="G299" s="54"/>
      <c r="H299" s="54"/>
      <c r="I299" s="54"/>
      <c r="J299" s="31"/>
      <c r="K299" s="31">
        <v>1</v>
      </c>
      <c r="L299" s="28"/>
    </row>
    <row r="300" spans="1:12" x14ac:dyDescent="0.2">
      <c r="A300" s="52">
        <v>46089</v>
      </c>
      <c r="B300" s="52"/>
      <c r="C300" s="70" t="s">
        <v>487</v>
      </c>
      <c r="D300" s="54"/>
      <c r="E300" s="54"/>
      <c r="F300" s="54"/>
      <c r="G300" s="54"/>
      <c r="H300" s="54"/>
      <c r="I300" s="54"/>
      <c r="J300" s="31"/>
      <c r="K300" s="31">
        <v>1</v>
      </c>
      <c r="L300" s="28"/>
    </row>
    <row r="301" spans="1:12" x14ac:dyDescent="0.2">
      <c r="A301" s="52"/>
      <c r="B301" s="52"/>
      <c r="C301" s="54"/>
      <c r="D301" s="54"/>
      <c r="E301" s="54"/>
      <c r="F301" s="54"/>
      <c r="G301" s="54"/>
      <c r="H301" s="54"/>
      <c r="I301" s="54"/>
      <c r="J301" s="31"/>
      <c r="K301" s="31"/>
      <c r="L301" s="28"/>
    </row>
    <row r="302" spans="1:12" x14ac:dyDescent="0.2">
      <c r="A302" s="55" t="s">
        <v>16</v>
      </c>
      <c r="B302" s="56"/>
      <c r="C302" s="56"/>
      <c r="D302" s="56"/>
      <c r="E302" s="56"/>
      <c r="F302" s="56"/>
      <c r="G302" s="56"/>
      <c r="H302" s="56"/>
      <c r="I302" s="57"/>
      <c r="J302" s="36">
        <f t="shared" ref="J302:L302" si="89">SUM(J298:J301)</f>
        <v>3</v>
      </c>
      <c r="K302" s="36">
        <f t="shared" si="89"/>
        <v>2</v>
      </c>
      <c r="L302" s="36">
        <f t="shared" si="89"/>
        <v>0</v>
      </c>
    </row>
    <row r="303" spans="1:12" x14ac:dyDescent="0.2">
      <c r="A303" s="27">
        <v>49</v>
      </c>
      <c r="B303" s="28"/>
      <c r="C303" s="28" t="s">
        <v>11</v>
      </c>
      <c r="D303" s="51" t="s">
        <v>410</v>
      </c>
      <c r="E303" s="44" t="s">
        <v>362</v>
      </c>
      <c r="F303" s="31"/>
      <c r="G303" s="31"/>
      <c r="H303" s="31" t="s">
        <v>14</v>
      </c>
      <c r="I303" s="31">
        <v>1</v>
      </c>
      <c r="J303" s="32">
        <f t="shared" ref="J303:K303" si="90">+J308</f>
        <v>0</v>
      </c>
      <c r="K303" s="33">
        <f t="shared" si="90"/>
        <v>0</v>
      </c>
      <c r="L303" s="34">
        <f>+I303+J303-K303</f>
        <v>1</v>
      </c>
    </row>
    <row r="304" spans="1:12" x14ac:dyDescent="0.2">
      <c r="A304" s="58" t="s">
        <v>15</v>
      </c>
      <c r="B304" s="58"/>
      <c r="C304" s="59" t="s">
        <v>3</v>
      </c>
      <c r="D304" s="59"/>
      <c r="E304" s="59"/>
      <c r="F304" s="59"/>
      <c r="G304" s="59"/>
      <c r="H304" s="59"/>
      <c r="I304" s="59"/>
      <c r="J304" s="35" t="s">
        <v>8</v>
      </c>
      <c r="K304" s="35" t="s">
        <v>9</v>
      </c>
      <c r="L304" s="35" t="s">
        <v>10</v>
      </c>
    </row>
    <row r="305" spans="1:12" x14ac:dyDescent="0.2">
      <c r="A305" s="52"/>
      <c r="B305" s="52"/>
      <c r="C305" s="54"/>
      <c r="D305" s="54"/>
      <c r="E305" s="54"/>
      <c r="F305" s="54"/>
      <c r="G305" s="54"/>
      <c r="H305" s="54"/>
      <c r="I305" s="54"/>
      <c r="J305" s="31"/>
      <c r="K305" s="31"/>
      <c r="L305" s="28"/>
    </row>
    <row r="306" spans="1:12" x14ac:dyDescent="0.2">
      <c r="A306" s="52"/>
      <c r="B306" s="52"/>
      <c r="C306" s="54"/>
      <c r="D306" s="54"/>
      <c r="E306" s="54"/>
      <c r="F306" s="54"/>
      <c r="G306" s="54"/>
      <c r="H306" s="54"/>
      <c r="I306" s="54"/>
      <c r="J306" s="31"/>
      <c r="K306" s="31"/>
      <c r="L306" s="28"/>
    </row>
    <row r="307" spans="1:12" x14ac:dyDescent="0.2">
      <c r="A307" s="52"/>
      <c r="B307" s="52"/>
      <c r="C307" s="54"/>
      <c r="D307" s="54"/>
      <c r="E307" s="54"/>
      <c r="F307" s="54"/>
      <c r="G307" s="54"/>
      <c r="H307" s="54"/>
      <c r="I307" s="54"/>
      <c r="J307" s="31"/>
      <c r="K307" s="31"/>
      <c r="L307" s="28"/>
    </row>
    <row r="308" spans="1:12" x14ac:dyDescent="0.2">
      <c r="A308" s="55" t="s">
        <v>16</v>
      </c>
      <c r="B308" s="56"/>
      <c r="C308" s="56"/>
      <c r="D308" s="56"/>
      <c r="E308" s="56"/>
      <c r="F308" s="56"/>
      <c r="G308" s="56"/>
      <c r="H308" s="56"/>
      <c r="I308" s="57"/>
      <c r="J308" s="36">
        <f t="shared" ref="J308:L308" si="91">SUM(J305:J307)</f>
        <v>0</v>
      </c>
      <c r="K308" s="36">
        <f t="shared" si="91"/>
        <v>0</v>
      </c>
      <c r="L308" s="36">
        <f t="shared" si="91"/>
        <v>0</v>
      </c>
    </row>
    <row r="309" spans="1:12" x14ac:dyDescent="0.2">
      <c r="A309" s="27">
        <v>50</v>
      </c>
      <c r="B309" s="28"/>
      <c r="C309" s="28" t="s">
        <v>11</v>
      </c>
      <c r="D309" s="51" t="s">
        <v>411</v>
      </c>
      <c r="E309" s="44" t="s">
        <v>362</v>
      </c>
      <c r="F309" s="31"/>
      <c r="G309" s="31"/>
      <c r="H309" s="31" t="s">
        <v>14</v>
      </c>
      <c r="I309" s="31">
        <v>2</v>
      </c>
      <c r="J309" s="32">
        <f t="shared" ref="J309:K309" si="92">+J314</f>
        <v>0</v>
      </c>
      <c r="K309" s="33">
        <f t="shared" si="92"/>
        <v>0</v>
      </c>
      <c r="L309" s="34">
        <f>+I309+J309-K309</f>
        <v>2</v>
      </c>
    </row>
    <row r="310" spans="1:12" x14ac:dyDescent="0.2">
      <c r="A310" s="58" t="s">
        <v>15</v>
      </c>
      <c r="B310" s="58"/>
      <c r="C310" s="59" t="s">
        <v>3</v>
      </c>
      <c r="D310" s="59"/>
      <c r="E310" s="59"/>
      <c r="F310" s="59"/>
      <c r="G310" s="59"/>
      <c r="H310" s="59"/>
      <c r="I310" s="59"/>
      <c r="J310" s="35" t="s">
        <v>8</v>
      </c>
      <c r="K310" s="35" t="s">
        <v>9</v>
      </c>
      <c r="L310" s="35" t="s">
        <v>10</v>
      </c>
    </row>
    <row r="311" spans="1:12" x14ac:dyDescent="0.2">
      <c r="A311" s="52"/>
      <c r="B311" s="52"/>
      <c r="C311" s="54"/>
      <c r="D311" s="54"/>
      <c r="E311" s="54"/>
      <c r="F311" s="54"/>
      <c r="G311" s="54"/>
      <c r="H311" s="54"/>
      <c r="I311" s="54"/>
      <c r="J311" s="31"/>
      <c r="K311" s="31"/>
      <c r="L311" s="28"/>
    </row>
    <row r="312" spans="1:12" x14ac:dyDescent="0.2">
      <c r="A312" s="52"/>
      <c r="B312" s="52"/>
      <c r="C312" s="54"/>
      <c r="D312" s="54"/>
      <c r="E312" s="54"/>
      <c r="F312" s="54"/>
      <c r="G312" s="54"/>
      <c r="H312" s="54"/>
      <c r="I312" s="54"/>
      <c r="J312" s="31"/>
      <c r="K312" s="31"/>
      <c r="L312" s="28"/>
    </row>
    <row r="313" spans="1:12" x14ac:dyDescent="0.2">
      <c r="A313" s="52"/>
      <c r="B313" s="52"/>
      <c r="C313" s="54"/>
      <c r="D313" s="54"/>
      <c r="E313" s="54"/>
      <c r="F313" s="54"/>
      <c r="G313" s="54"/>
      <c r="H313" s="54"/>
      <c r="I313" s="54"/>
      <c r="J313" s="31"/>
      <c r="K313" s="31"/>
      <c r="L313" s="28"/>
    </row>
    <row r="314" spans="1:12" x14ac:dyDescent="0.2">
      <c r="A314" s="55" t="s">
        <v>16</v>
      </c>
      <c r="B314" s="56"/>
      <c r="C314" s="56"/>
      <c r="D314" s="56"/>
      <c r="E314" s="56"/>
      <c r="F314" s="56"/>
      <c r="G314" s="56"/>
      <c r="H314" s="56"/>
      <c r="I314" s="57"/>
      <c r="J314" s="36">
        <f t="shared" ref="J314:L314" si="93">SUM(J311:J313)</f>
        <v>0</v>
      </c>
      <c r="K314" s="36">
        <f t="shared" si="93"/>
        <v>0</v>
      </c>
      <c r="L314" s="36">
        <f t="shared" si="93"/>
        <v>0</v>
      </c>
    </row>
    <row r="315" spans="1:12" x14ac:dyDescent="0.2">
      <c r="A315" s="27">
        <v>51</v>
      </c>
      <c r="B315" s="28"/>
      <c r="C315" s="28" t="s">
        <v>11</v>
      </c>
      <c r="D315" s="51" t="s">
        <v>412</v>
      </c>
      <c r="E315" s="44" t="s">
        <v>362</v>
      </c>
      <c r="F315" s="31"/>
      <c r="G315" s="31"/>
      <c r="H315" s="31" t="s">
        <v>14</v>
      </c>
      <c r="I315" s="31">
        <v>2</v>
      </c>
      <c r="J315" s="32">
        <f t="shared" ref="J315:K315" si="94">+J320</f>
        <v>0</v>
      </c>
      <c r="K315" s="33">
        <f t="shared" si="94"/>
        <v>0</v>
      </c>
      <c r="L315" s="34">
        <f>+I315+J315-K315</f>
        <v>2</v>
      </c>
    </row>
    <row r="316" spans="1:12" x14ac:dyDescent="0.2">
      <c r="A316" s="58" t="s">
        <v>15</v>
      </c>
      <c r="B316" s="58"/>
      <c r="C316" s="59" t="s">
        <v>3</v>
      </c>
      <c r="D316" s="59"/>
      <c r="E316" s="59"/>
      <c r="F316" s="59"/>
      <c r="G316" s="59"/>
      <c r="H316" s="59"/>
      <c r="I316" s="59"/>
      <c r="J316" s="35" t="s">
        <v>8</v>
      </c>
      <c r="K316" s="35" t="s">
        <v>9</v>
      </c>
      <c r="L316" s="35" t="s">
        <v>10</v>
      </c>
    </row>
    <row r="317" spans="1:12" x14ac:dyDescent="0.2">
      <c r="A317" s="52"/>
      <c r="B317" s="52"/>
      <c r="C317" s="54"/>
      <c r="D317" s="54"/>
      <c r="E317" s="54"/>
      <c r="F317" s="54"/>
      <c r="G317" s="54"/>
      <c r="H317" s="54"/>
      <c r="I317" s="54"/>
      <c r="J317" s="31"/>
      <c r="K317" s="31"/>
      <c r="L317" s="28"/>
    </row>
    <row r="318" spans="1:12" x14ac:dyDescent="0.2">
      <c r="A318" s="52"/>
      <c r="B318" s="52"/>
      <c r="C318" s="54"/>
      <c r="D318" s="54"/>
      <c r="E318" s="54"/>
      <c r="F318" s="54"/>
      <c r="G318" s="54"/>
      <c r="H318" s="54"/>
      <c r="I318" s="54"/>
      <c r="J318" s="31"/>
      <c r="K318" s="31"/>
      <c r="L318" s="28"/>
    </row>
    <row r="319" spans="1:12" x14ac:dyDescent="0.2">
      <c r="A319" s="52"/>
      <c r="B319" s="52"/>
      <c r="C319" s="54"/>
      <c r="D319" s="54"/>
      <c r="E319" s="54"/>
      <c r="F319" s="54"/>
      <c r="G319" s="54"/>
      <c r="H319" s="54"/>
      <c r="I319" s="54"/>
      <c r="J319" s="31"/>
      <c r="K319" s="31"/>
      <c r="L319" s="28"/>
    </row>
    <row r="320" spans="1:12" x14ac:dyDescent="0.2">
      <c r="A320" s="55" t="s">
        <v>16</v>
      </c>
      <c r="B320" s="56"/>
      <c r="C320" s="56"/>
      <c r="D320" s="56"/>
      <c r="E320" s="56"/>
      <c r="F320" s="56"/>
      <c r="G320" s="56"/>
      <c r="H320" s="56"/>
      <c r="I320" s="57"/>
      <c r="J320" s="36">
        <f t="shared" ref="J320:L320" si="95">SUM(J317:J319)</f>
        <v>0</v>
      </c>
      <c r="K320" s="36">
        <f t="shared" si="95"/>
        <v>0</v>
      </c>
      <c r="L320" s="36">
        <f t="shared" si="95"/>
        <v>0</v>
      </c>
    </row>
    <row r="321" spans="1:12" x14ac:dyDescent="0.2">
      <c r="A321" s="27">
        <v>52</v>
      </c>
      <c r="B321" s="28"/>
      <c r="C321" s="28" t="s">
        <v>11</v>
      </c>
      <c r="D321" s="51" t="s">
        <v>413</v>
      </c>
      <c r="E321" s="44" t="s">
        <v>362</v>
      </c>
      <c r="F321" s="31"/>
      <c r="G321" s="31"/>
      <c r="H321" s="31" t="s">
        <v>14</v>
      </c>
      <c r="I321" s="31">
        <v>1</v>
      </c>
      <c r="J321" s="32">
        <f t="shared" ref="J321:K321" si="96">+J326</f>
        <v>2</v>
      </c>
      <c r="K321" s="33">
        <f t="shared" si="96"/>
        <v>1</v>
      </c>
      <c r="L321" s="34">
        <f>+I321+J321-K321</f>
        <v>2</v>
      </c>
    </row>
    <row r="322" spans="1:12" x14ac:dyDescent="0.2">
      <c r="A322" s="58" t="s">
        <v>15</v>
      </c>
      <c r="B322" s="58"/>
      <c r="C322" s="59" t="s">
        <v>3</v>
      </c>
      <c r="D322" s="59"/>
      <c r="E322" s="59"/>
      <c r="F322" s="59"/>
      <c r="G322" s="59"/>
      <c r="H322" s="59"/>
      <c r="I322" s="59"/>
      <c r="J322" s="35" t="s">
        <v>8</v>
      </c>
      <c r="K322" s="35" t="s">
        <v>9</v>
      </c>
      <c r="L322" s="35" t="s">
        <v>10</v>
      </c>
    </row>
    <row r="323" spans="1:12" x14ac:dyDescent="0.2">
      <c r="A323" s="52">
        <v>46052</v>
      </c>
      <c r="B323" s="52"/>
      <c r="C323" s="54" t="s">
        <v>277</v>
      </c>
      <c r="D323" s="54"/>
      <c r="E323" s="54"/>
      <c r="F323" s="54"/>
      <c r="G323" s="54"/>
      <c r="H323" s="54"/>
      <c r="I323" s="54"/>
      <c r="J323" s="31">
        <v>2</v>
      </c>
      <c r="K323" s="31"/>
      <c r="L323" s="28"/>
    </row>
    <row r="324" spans="1:12" x14ac:dyDescent="0.2">
      <c r="A324" s="52">
        <v>46093</v>
      </c>
      <c r="B324" s="52"/>
      <c r="C324" s="53" t="s">
        <v>338</v>
      </c>
      <c r="D324" s="54"/>
      <c r="E324" s="54"/>
      <c r="F324" s="54"/>
      <c r="G324" s="54"/>
      <c r="H324" s="54"/>
      <c r="I324" s="54"/>
      <c r="J324" s="31"/>
      <c r="K324" s="31">
        <v>1</v>
      </c>
      <c r="L324" s="28"/>
    </row>
    <row r="325" spans="1:12" x14ac:dyDescent="0.2">
      <c r="A325" s="52"/>
      <c r="B325" s="52"/>
      <c r="C325" s="54"/>
      <c r="D325" s="54"/>
      <c r="E325" s="54"/>
      <c r="F325" s="54"/>
      <c r="G325" s="54"/>
      <c r="H325" s="54"/>
      <c r="I325" s="54"/>
      <c r="J325" s="31"/>
      <c r="K325" s="31"/>
      <c r="L325" s="28"/>
    </row>
    <row r="326" spans="1:12" x14ac:dyDescent="0.2">
      <c r="A326" s="55" t="s">
        <v>16</v>
      </c>
      <c r="B326" s="56"/>
      <c r="C326" s="56"/>
      <c r="D326" s="56"/>
      <c r="E326" s="56"/>
      <c r="F326" s="56"/>
      <c r="G326" s="56"/>
      <c r="H326" s="56"/>
      <c r="I326" s="57"/>
      <c r="J326" s="36">
        <f t="shared" ref="J326:L326" si="97">SUM(J323:J325)</f>
        <v>2</v>
      </c>
      <c r="K326" s="36">
        <f t="shared" si="97"/>
        <v>1</v>
      </c>
      <c r="L326" s="36">
        <f t="shared" si="97"/>
        <v>0</v>
      </c>
    </row>
    <row r="327" spans="1:12" x14ac:dyDescent="0.2">
      <c r="A327" s="27">
        <v>53</v>
      </c>
      <c r="B327" s="28"/>
      <c r="C327" s="28" t="s">
        <v>11</v>
      </c>
      <c r="D327" s="51" t="s">
        <v>414</v>
      </c>
      <c r="E327" s="44" t="s">
        <v>362</v>
      </c>
      <c r="F327" s="31" t="s">
        <v>13</v>
      </c>
      <c r="G327" s="31"/>
      <c r="H327" s="31" t="s">
        <v>14</v>
      </c>
      <c r="I327" s="31">
        <v>20</v>
      </c>
      <c r="J327" s="32">
        <f t="shared" ref="J327:K327" si="98">+J332</f>
        <v>0</v>
      </c>
      <c r="K327" s="33">
        <f t="shared" si="98"/>
        <v>2</v>
      </c>
      <c r="L327" s="37">
        <f>+I327+J327-K327</f>
        <v>18</v>
      </c>
    </row>
    <row r="328" spans="1:12" x14ac:dyDescent="0.2">
      <c r="A328" s="58" t="s">
        <v>15</v>
      </c>
      <c r="B328" s="58"/>
      <c r="C328" s="59" t="s">
        <v>3</v>
      </c>
      <c r="D328" s="59"/>
      <c r="E328" s="59"/>
      <c r="F328" s="59"/>
      <c r="G328" s="59"/>
      <c r="H328" s="59"/>
      <c r="I328" s="59"/>
      <c r="J328" s="35" t="s">
        <v>8</v>
      </c>
      <c r="K328" s="35" t="s">
        <v>9</v>
      </c>
      <c r="L328" s="35" t="s">
        <v>10</v>
      </c>
    </row>
    <row r="329" spans="1:12" x14ac:dyDescent="0.2">
      <c r="A329" s="52">
        <v>46120</v>
      </c>
      <c r="B329" s="52"/>
      <c r="C329" s="70" t="s">
        <v>409</v>
      </c>
      <c r="D329" s="54"/>
      <c r="E329" s="54"/>
      <c r="F329" s="54"/>
      <c r="G329" s="54"/>
      <c r="H329" s="54"/>
      <c r="I329" s="54"/>
      <c r="J329" s="31"/>
      <c r="K329" s="31">
        <v>2</v>
      </c>
      <c r="L329" s="28"/>
    </row>
    <row r="330" spans="1:12" x14ac:dyDescent="0.2">
      <c r="A330" s="52"/>
      <c r="B330" s="52"/>
      <c r="C330" s="54"/>
      <c r="D330" s="54"/>
      <c r="E330" s="54"/>
      <c r="F330" s="54"/>
      <c r="G330" s="54"/>
      <c r="H330" s="54"/>
      <c r="I330" s="54"/>
      <c r="J330" s="31"/>
      <c r="K330" s="31"/>
      <c r="L330" s="28"/>
    </row>
    <row r="331" spans="1:12" x14ac:dyDescent="0.2">
      <c r="A331" s="52"/>
      <c r="B331" s="52"/>
      <c r="C331" s="54"/>
      <c r="D331" s="54"/>
      <c r="E331" s="54"/>
      <c r="F331" s="54"/>
      <c r="G331" s="54"/>
      <c r="H331" s="54"/>
      <c r="I331" s="54"/>
      <c r="J331" s="31"/>
      <c r="K331" s="31"/>
      <c r="L331" s="28"/>
    </row>
    <row r="332" spans="1:12" x14ac:dyDescent="0.2">
      <c r="A332" s="55" t="s">
        <v>16</v>
      </c>
      <c r="B332" s="56"/>
      <c r="C332" s="56"/>
      <c r="D332" s="56"/>
      <c r="E332" s="56"/>
      <c r="F332" s="56"/>
      <c r="G332" s="56"/>
      <c r="H332" s="56"/>
      <c r="I332" s="57"/>
      <c r="J332" s="36">
        <f t="shared" ref="J332:L332" si="99">SUM(J329:J331)</f>
        <v>0</v>
      </c>
      <c r="K332" s="36">
        <f t="shared" si="99"/>
        <v>2</v>
      </c>
      <c r="L332" s="36">
        <f t="shared" si="99"/>
        <v>0</v>
      </c>
    </row>
    <row r="333" spans="1:12" x14ac:dyDescent="0.2">
      <c r="A333" s="27">
        <v>54</v>
      </c>
      <c r="B333" s="28"/>
      <c r="C333" s="28" t="s">
        <v>11</v>
      </c>
      <c r="D333" s="51" t="s">
        <v>415</v>
      </c>
      <c r="E333" s="44" t="s">
        <v>362</v>
      </c>
      <c r="F333" s="31" t="s">
        <v>13</v>
      </c>
      <c r="G333" s="31"/>
      <c r="H333" s="31" t="s">
        <v>14</v>
      </c>
      <c r="I333" s="31">
        <v>1</v>
      </c>
      <c r="J333" s="32">
        <f t="shared" ref="J333:K333" si="100">+J338</f>
        <v>0</v>
      </c>
      <c r="K333" s="33">
        <f t="shared" si="100"/>
        <v>0</v>
      </c>
      <c r="L333" s="37">
        <f>+I333+J333-K333</f>
        <v>1</v>
      </c>
    </row>
    <row r="334" spans="1:12" x14ac:dyDescent="0.2">
      <c r="A334" s="58" t="s">
        <v>15</v>
      </c>
      <c r="B334" s="58"/>
      <c r="C334" s="59" t="s">
        <v>3</v>
      </c>
      <c r="D334" s="59"/>
      <c r="E334" s="59"/>
      <c r="F334" s="59"/>
      <c r="G334" s="59"/>
      <c r="H334" s="59"/>
      <c r="I334" s="59"/>
      <c r="J334" s="35" t="s">
        <v>8</v>
      </c>
      <c r="K334" s="35" t="s">
        <v>9</v>
      </c>
      <c r="L334" s="35" t="s">
        <v>10</v>
      </c>
    </row>
    <row r="335" spans="1:12" x14ac:dyDescent="0.2">
      <c r="A335" s="52"/>
      <c r="B335" s="52"/>
      <c r="C335" s="54"/>
      <c r="D335" s="54"/>
      <c r="E335" s="54"/>
      <c r="F335" s="54"/>
      <c r="G335" s="54"/>
      <c r="H335" s="54"/>
      <c r="I335" s="54"/>
      <c r="J335" s="31"/>
      <c r="K335" s="31"/>
      <c r="L335" s="28"/>
    </row>
    <row r="336" spans="1:12" x14ac:dyDescent="0.2">
      <c r="A336" s="52"/>
      <c r="B336" s="52"/>
      <c r="C336" s="54"/>
      <c r="D336" s="54"/>
      <c r="E336" s="54"/>
      <c r="F336" s="54"/>
      <c r="G336" s="54"/>
      <c r="H336" s="54"/>
      <c r="I336" s="54"/>
      <c r="J336" s="31"/>
      <c r="K336" s="31"/>
      <c r="L336" s="28"/>
    </row>
    <row r="337" spans="1:12" x14ac:dyDescent="0.2">
      <c r="A337" s="52"/>
      <c r="B337" s="52"/>
      <c r="C337" s="54"/>
      <c r="D337" s="54"/>
      <c r="E337" s="54"/>
      <c r="F337" s="54"/>
      <c r="G337" s="54"/>
      <c r="H337" s="54"/>
      <c r="I337" s="54"/>
      <c r="J337" s="31"/>
      <c r="K337" s="31"/>
      <c r="L337" s="28"/>
    </row>
    <row r="338" spans="1:12" x14ac:dyDescent="0.2">
      <c r="A338" s="55" t="s">
        <v>16</v>
      </c>
      <c r="B338" s="56"/>
      <c r="C338" s="56"/>
      <c r="D338" s="56"/>
      <c r="E338" s="56"/>
      <c r="F338" s="56"/>
      <c r="G338" s="56"/>
      <c r="H338" s="56"/>
      <c r="I338" s="57"/>
      <c r="J338" s="36">
        <f t="shared" ref="J338:L338" si="101">SUM(J335:J337)</f>
        <v>0</v>
      </c>
      <c r="K338" s="36">
        <f t="shared" si="101"/>
        <v>0</v>
      </c>
      <c r="L338" s="36">
        <f t="shared" si="101"/>
        <v>0</v>
      </c>
    </row>
    <row r="339" spans="1:12" x14ac:dyDescent="0.2">
      <c r="A339" s="27">
        <v>55</v>
      </c>
      <c r="B339" s="28"/>
      <c r="C339" s="28" t="s">
        <v>11</v>
      </c>
      <c r="D339" s="51" t="s">
        <v>416</v>
      </c>
      <c r="E339" s="44" t="s">
        <v>362</v>
      </c>
      <c r="F339" s="31" t="s">
        <v>13</v>
      </c>
      <c r="G339" s="31"/>
      <c r="H339" s="31" t="s">
        <v>14</v>
      </c>
      <c r="I339" s="31">
        <v>18</v>
      </c>
      <c r="J339" s="32">
        <f t="shared" ref="J339:K339" si="102">+J344</f>
        <v>0</v>
      </c>
      <c r="K339" s="33">
        <f t="shared" si="102"/>
        <v>0</v>
      </c>
      <c r="L339" s="37">
        <f>+I339+J339-K339</f>
        <v>18</v>
      </c>
    </row>
    <row r="340" spans="1:12" x14ac:dyDescent="0.2">
      <c r="A340" s="58" t="s">
        <v>15</v>
      </c>
      <c r="B340" s="58"/>
      <c r="C340" s="59" t="s">
        <v>3</v>
      </c>
      <c r="D340" s="59"/>
      <c r="E340" s="59"/>
      <c r="F340" s="59"/>
      <c r="G340" s="59"/>
      <c r="H340" s="59"/>
      <c r="I340" s="59"/>
      <c r="J340" s="35" t="s">
        <v>8</v>
      </c>
      <c r="K340" s="35" t="s">
        <v>9</v>
      </c>
      <c r="L340" s="35" t="s">
        <v>10</v>
      </c>
    </row>
    <row r="341" spans="1:12" x14ac:dyDescent="0.2">
      <c r="A341" s="52"/>
      <c r="B341" s="52"/>
      <c r="C341" s="54"/>
      <c r="D341" s="54"/>
      <c r="E341" s="54"/>
      <c r="F341" s="54"/>
      <c r="G341" s="54"/>
      <c r="H341" s="54"/>
      <c r="I341" s="54"/>
      <c r="J341" s="31"/>
      <c r="K341" s="31"/>
      <c r="L341" s="28"/>
    </row>
    <row r="342" spans="1:12" x14ac:dyDescent="0.2">
      <c r="A342" s="52"/>
      <c r="B342" s="52"/>
      <c r="C342" s="54"/>
      <c r="D342" s="54"/>
      <c r="E342" s="54"/>
      <c r="F342" s="54"/>
      <c r="G342" s="54"/>
      <c r="H342" s="54"/>
      <c r="I342" s="54"/>
      <c r="J342" s="31"/>
      <c r="K342" s="31"/>
      <c r="L342" s="28"/>
    </row>
    <row r="343" spans="1:12" x14ac:dyDescent="0.2">
      <c r="A343" s="52"/>
      <c r="B343" s="52"/>
      <c r="C343" s="54"/>
      <c r="D343" s="54"/>
      <c r="E343" s="54"/>
      <c r="F343" s="54"/>
      <c r="G343" s="54"/>
      <c r="H343" s="54"/>
      <c r="I343" s="54"/>
      <c r="J343" s="31"/>
      <c r="K343" s="31"/>
      <c r="L343" s="28"/>
    </row>
    <row r="344" spans="1:12" x14ac:dyDescent="0.2">
      <c r="A344" s="55" t="s">
        <v>16</v>
      </c>
      <c r="B344" s="56"/>
      <c r="C344" s="56"/>
      <c r="D344" s="56"/>
      <c r="E344" s="56"/>
      <c r="F344" s="56"/>
      <c r="G344" s="56"/>
      <c r="H344" s="56"/>
      <c r="I344" s="57"/>
      <c r="J344" s="36">
        <f t="shared" ref="J344:L344" si="103">SUM(J341:J343)</f>
        <v>0</v>
      </c>
      <c r="K344" s="36">
        <f t="shared" si="103"/>
        <v>0</v>
      </c>
      <c r="L344" s="36">
        <f t="shared" si="103"/>
        <v>0</v>
      </c>
    </row>
    <row r="345" spans="1:12" x14ac:dyDescent="0.2">
      <c r="A345" s="27">
        <v>56</v>
      </c>
      <c r="B345" s="28"/>
      <c r="C345" s="28" t="s">
        <v>11</v>
      </c>
      <c r="D345" s="51" t="s">
        <v>417</v>
      </c>
      <c r="E345" s="44" t="s">
        <v>362</v>
      </c>
      <c r="F345" s="31" t="s">
        <v>13</v>
      </c>
      <c r="G345" s="31"/>
      <c r="H345" s="31" t="s">
        <v>14</v>
      </c>
      <c r="I345" s="31">
        <v>9</v>
      </c>
      <c r="J345" s="32">
        <f t="shared" ref="J345:K345" si="104">+J350</f>
        <v>0</v>
      </c>
      <c r="K345" s="33">
        <f t="shared" si="104"/>
        <v>2</v>
      </c>
      <c r="L345" s="37">
        <f>+I345+J345-K345</f>
        <v>7</v>
      </c>
    </row>
    <row r="346" spans="1:12" x14ac:dyDescent="0.2">
      <c r="A346" s="58" t="s">
        <v>15</v>
      </c>
      <c r="B346" s="58"/>
      <c r="C346" s="59" t="s">
        <v>3</v>
      </c>
      <c r="D346" s="59"/>
      <c r="E346" s="59"/>
      <c r="F346" s="59"/>
      <c r="G346" s="59"/>
      <c r="H346" s="59"/>
      <c r="I346" s="59"/>
      <c r="J346" s="35" t="s">
        <v>8</v>
      </c>
      <c r="K346" s="35" t="s">
        <v>9</v>
      </c>
      <c r="L346" s="35" t="s">
        <v>10</v>
      </c>
    </row>
    <row r="347" spans="1:12" x14ac:dyDescent="0.2">
      <c r="A347" s="52">
        <v>46096</v>
      </c>
      <c r="B347" s="52"/>
      <c r="C347" s="53" t="s">
        <v>418</v>
      </c>
      <c r="D347" s="54"/>
      <c r="E347" s="54"/>
      <c r="F347" s="54"/>
      <c r="G347" s="54"/>
      <c r="H347" s="54"/>
      <c r="I347" s="54"/>
      <c r="J347" s="31"/>
      <c r="K347" s="31">
        <v>2</v>
      </c>
      <c r="L347" s="28"/>
    </row>
    <row r="348" spans="1:12" x14ac:dyDescent="0.2">
      <c r="A348" s="52"/>
      <c r="B348" s="52"/>
      <c r="C348" s="54"/>
      <c r="D348" s="54"/>
      <c r="E348" s="54"/>
      <c r="F348" s="54"/>
      <c r="G348" s="54"/>
      <c r="H348" s="54"/>
      <c r="I348" s="54"/>
      <c r="J348" s="31"/>
      <c r="K348" s="31"/>
      <c r="L348" s="28"/>
    </row>
    <row r="349" spans="1:12" x14ac:dyDescent="0.2">
      <c r="A349" s="52"/>
      <c r="B349" s="52"/>
      <c r="C349" s="54"/>
      <c r="D349" s="54"/>
      <c r="E349" s="54"/>
      <c r="F349" s="54"/>
      <c r="G349" s="54"/>
      <c r="H349" s="54"/>
      <c r="I349" s="54"/>
      <c r="J349" s="31"/>
      <c r="K349" s="31"/>
      <c r="L349" s="28"/>
    </row>
    <row r="350" spans="1:12" x14ac:dyDescent="0.2">
      <c r="A350" s="55" t="s">
        <v>16</v>
      </c>
      <c r="B350" s="56"/>
      <c r="C350" s="56"/>
      <c r="D350" s="56"/>
      <c r="E350" s="56"/>
      <c r="F350" s="56"/>
      <c r="G350" s="56"/>
      <c r="H350" s="56"/>
      <c r="I350" s="57"/>
      <c r="J350" s="36">
        <f t="shared" ref="J350:L350" si="105">SUM(J347:J349)</f>
        <v>0</v>
      </c>
      <c r="K350" s="36">
        <f t="shared" si="105"/>
        <v>2</v>
      </c>
      <c r="L350" s="36">
        <f t="shared" si="105"/>
        <v>0</v>
      </c>
    </row>
    <row r="351" spans="1:12" x14ac:dyDescent="0.2">
      <c r="A351" s="27">
        <v>57</v>
      </c>
      <c r="B351" s="28"/>
      <c r="C351" s="28" t="s">
        <v>112</v>
      </c>
      <c r="D351" s="29" t="s">
        <v>113</v>
      </c>
      <c r="E351" s="30" t="s">
        <v>365</v>
      </c>
      <c r="F351" s="31"/>
      <c r="G351" s="31"/>
      <c r="H351" s="31" t="s">
        <v>114</v>
      </c>
      <c r="I351" s="31">
        <v>11</v>
      </c>
      <c r="J351" s="32">
        <f t="shared" ref="J351:K351" si="106">+J356</f>
        <v>0</v>
      </c>
      <c r="K351" s="33">
        <f t="shared" si="106"/>
        <v>0</v>
      </c>
      <c r="L351" s="37">
        <f>+I351+J351-K351</f>
        <v>11</v>
      </c>
    </row>
    <row r="352" spans="1:12" x14ac:dyDescent="0.2">
      <c r="A352" s="58" t="s">
        <v>15</v>
      </c>
      <c r="B352" s="58"/>
      <c r="C352" s="59" t="s">
        <v>3</v>
      </c>
      <c r="D352" s="59"/>
      <c r="E352" s="59"/>
      <c r="F352" s="59"/>
      <c r="G352" s="59"/>
      <c r="H352" s="59"/>
      <c r="I352" s="59"/>
      <c r="J352" s="35" t="s">
        <v>8</v>
      </c>
      <c r="K352" s="35" t="s">
        <v>9</v>
      </c>
      <c r="L352" s="35" t="s">
        <v>10</v>
      </c>
    </row>
    <row r="353" spans="1:12" x14ac:dyDescent="0.2">
      <c r="A353" s="52"/>
      <c r="B353" s="52"/>
      <c r="C353" s="54"/>
      <c r="D353" s="54"/>
      <c r="E353" s="54"/>
      <c r="F353" s="54"/>
      <c r="G353" s="54"/>
      <c r="H353" s="54"/>
      <c r="I353" s="54"/>
      <c r="J353" s="31"/>
      <c r="K353" s="31"/>
      <c r="L353" s="28"/>
    </row>
    <row r="354" spans="1:12" x14ac:dyDescent="0.2">
      <c r="A354" s="52"/>
      <c r="B354" s="52"/>
      <c r="C354" s="54"/>
      <c r="D354" s="54"/>
      <c r="E354" s="54"/>
      <c r="F354" s="54"/>
      <c r="G354" s="54"/>
      <c r="H354" s="54"/>
      <c r="I354" s="54"/>
      <c r="J354" s="31"/>
      <c r="K354" s="31"/>
      <c r="L354" s="28"/>
    </row>
    <row r="355" spans="1:12" x14ac:dyDescent="0.2">
      <c r="A355" s="52"/>
      <c r="B355" s="52"/>
      <c r="C355" s="54"/>
      <c r="D355" s="54"/>
      <c r="E355" s="54"/>
      <c r="F355" s="54"/>
      <c r="G355" s="54"/>
      <c r="H355" s="54"/>
      <c r="I355" s="54"/>
      <c r="J355" s="31"/>
      <c r="K355" s="31"/>
      <c r="L355" s="28"/>
    </row>
    <row r="356" spans="1:12" x14ac:dyDescent="0.2">
      <c r="A356" s="55" t="s">
        <v>16</v>
      </c>
      <c r="B356" s="56"/>
      <c r="C356" s="56"/>
      <c r="D356" s="56"/>
      <c r="E356" s="56"/>
      <c r="F356" s="56"/>
      <c r="G356" s="56"/>
      <c r="H356" s="56"/>
      <c r="I356" s="57"/>
      <c r="J356" s="36">
        <f t="shared" ref="J356:L356" si="107">SUM(J353:J355)</f>
        <v>0</v>
      </c>
      <c r="K356" s="36">
        <f t="shared" si="107"/>
        <v>0</v>
      </c>
      <c r="L356" s="36">
        <f t="shared" si="107"/>
        <v>0</v>
      </c>
    </row>
    <row r="357" spans="1:12" x14ac:dyDescent="0.2">
      <c r="A357" s="27">
        <v>58</v>
      </c>
      <c r="B357" s="28"/>
      <c r="C357" s="28" t="s">
        <v>112</v>
      </c>
      <c r="D357" s="29" t="s">
        <v>115</v>
      </c>
      <c r="E357" s="30" t="s">
        <v>388</v>
      </c>
      <c r="F357" s="31"/>
      <c r="G357" s="31"/>
      <c r="H357" s="31" t="s">
        <v>114</v>
      </c>
      <c r="I357" s="31">
        <v>4.6500000000000004</v>
      </c>
      <c r="J357" s="32">
        <f t="shared" ref="J357:K357" si="108">+J362</f>
        <v>0</v>
      </c>
      <c r="K357" s="33">
        <f t="shared" si="108"/>
        <v>0</v>
      </c>
      <c r="L357" s="38">
        <f>+I357+J357-K357</f>
        <v>4.6500000000000004</v>
      </c>
    </row>
    <row r="358" spans="1:12" x14ac:dyDescent="0.2">
      <c r="A358" s="58" t="s">
        <v>15</v>
      </c>
      <c r="B358" s="58"/>
      <c r="C358" s="59" t="s">
        <v>3</v>
      </c>
      <c r="D358" s="59"/>
      <c r="E358" s="59"/>
      <c r="F358" s="59"/>
      <c r="G358" s="59"/>
      <c r="H358" s="59"/>
      <c r="I358" s="59"/>
      <c r="J358" s="35" t="s">
        <v>8</v>
      </c>
      <c r="K358" s="35" t="s">
        <v>9</v>
      </c>
      <c r="L358" s="35" t="s">
        <v>10</v>
      </c>
    </row>
    <row r="359" spans="1:12" x14ac:dyDescent="0.2">
      <c r="A359" s="52"/>
      <c r="B359" s="52"/>
      <c r="C359" s="54"/>
      <c r="D359" s="54"/>
      <c r="E359" s="54"/>
      <c r="F359" s="54"/>
      <c r="G359" s="54"/>
      <c r="H359" s="54"/>
      <c r="I359" s="54"/>
      <c r="J359" s="31"/>
      <c r="K359" s="31"/>
      <c r="L359" s="28"/>
    </row>
    <row r="360" spans="1:12" x14ac:dyDescent="0.2">
      <c r="A360" s="52"/>
      <c r="B360" s="52"/>
      <c r="C360" s="54"/>
      <c r="D360" s="54"/>
      <c r="E360" s="54"/>
      <c r="F360" s="54"/>
      <c r="G360" s="54"/>
      <c r="H360" s="54"/>
      <c r="I360" s="54"/>
      <c r="J360" s="31"/>
      <c r="K360" s="31"/>
      <c r="L360" s="28"/>
    </row>
    <row r="361" spans="1:12" x14ac:dyDescent="0.2">
      <c r="A361" s="52"/>
      <c r="B361" s="52"/>
      <c r="C361" s="54"/>
      <c r="D361" s="54"/>
      <c r="E361" s="54"/>
      <c r="F361" s="54"/>
      <c r="G361" s="54"/>
      <c r="H361" s="54"/>
      <c r="I361" s="54"/>
      <c r="J361" s="31"/>
      <c r="K361" s="31"/>
      <c r="L361" s="28"/>
    </row>
    <row r="362" spans="1:12" x14ac:dyDescent="0.2">
      <c r="A362" s="55" t="s">
        <v>16</v>
      </c>
      <c r="B362" s="56"/>
      <c r="C362" s="56"/>
      <c r="D362" s="56"/>
      <c r="E362" s="56"/>
      <c r="F362" s="56"/>
      <c r="G362" s="56"/>
      <c r="H362" s="56"/>
      <c r="I362" s="57"/>
      <c r="J362" s="36">
        <f t="shared" ref="J362:L362" si="109">SUM(J359:J361)</f>
        <v>0</v>
      </c>
      <c r="K362" s="36">
        <f t="shared" si="109"/>
        <v>0</v>
      </c>
      <c r="L362" s="36">
        <f t="shared" si="109"/>
        <v>0</v>
      </c>
    </row>
    <row r="363" spans="1:12" x14ac:dyDescent="0.2">
      <c r="A363" s="27">
        <v>59</v>
      </c>
      <c r="B363" s="28"/>
      <c r="C363" s="28" t="s">
        <v>112</v>
      </c>
      <c r="D363" s="29" t="s">
        <v>318</v>
      </c>
      <c r="E363" s="30" t="s">
        <v>388</v>
      </c>
      <c r="F363" s="31"/>
      <c r="G363" s="31"/>
      <c r="H363" s="31" t="s">
        <v>114</v>
      </c>
      <c r="I363" s="31">
        <v>0</v>
      </c>
      <c r="J363" s="32">
        <f t="shared" ref="J363" si="110">+J377</f>
        <v>200</v>
      </c>
      <c r="K363" s="33">
        <f>+K377</f>
        <v>122.82000000000001</v>
      </c>
      <c r="L363" s="34">
        <f>+I363+J363-K363</f>
        <v>77.179999999999993</v>
      </c>
    </row>
    <row r="364" spans="1:12" x14ac:dyDescent="0.2">
      <c r="A364" s="58" t="s">
        <v>15</v>
      </c>
      <c r="B364" s="58"/>
      <c r="C364" s="59" t="s">
        <v>3</v>
      </c>
      <c r="D364" s="59"/>
      <c r="E364" s="59"/>
      <c r="F364" s="59"/>
      <c r="G364" s="59"/>
      <c r="H364" s="59"/>
      <c r="I364" s="59"/>
      <c r="J364" s="35" t="s">
        <v>8</v>
      </c>
      <c r="K364" s="35" t="s">
        <v>9</v>
      </c>
      <c r="L364" s="35" t="s">
        <v>10</v>
      </c>
    </row>
    <row r="365" spans="1:12" x14ac:dyDescent="0.2">
      <c r="A365" s="52">
        <v>46052</v>
      </c>
      <c r="B365" s="52"/>
      <c r="C365" s="54" t="s">
        <v>277</v>
      </c>
      <c r="D365" s="54"/>
      <c r="E365" s="54"/>
      <c r="F365" s="54"/>
      <c r="G365" s="54"/>
      <c r="H365" s="54"/>
      <c r="I365" s="54"/>
      <c r="J365" s="31">
        <v>200</v>
      </c>
      <c r="K365" s="31"/>
      <c r="L365" s="28"/>
    </row>
    <row r="366" spans="1:12" x14ac:dyDescent="0.2">
      <c r="A366" s="52">
        <v>46072</v>
      </c>
      <c r="B366" s="52"/>
      <c r="C366" s="54" t="s">
        <v>333</v>
      </c>
      <c r="D366" s="54"/>
      <c r="E366" s="54"/>
      <c r="F366" s="54"/>
      <c r="G366" s="54"/>
      <c r="H366" s="54"/>
      <c r="I366" s="54"/>
      <c r="J366" s="31"/>
      <c r="K366" s="31">
        <f>3.57+3.6*5</f>
        <v>21.57</v>
      </c>
      <c r="L366" s="28"/>
    </row>
    <row r="367" spans="1:12" x14ac:dyDescent="0.2">
      <c r="A367" s="52">
        <v>46074</v>
      </c>
      <c r="B367" s="52"/>
      <c r="C367" s="54" t="s">
        <v>333</v>
      </c>
      <c r="D367" s="54"/>
      <c r="E367" s="54"/>
      <c r="F367" s="54"/>
      <c r="G367" s="54"/>
      <c r="H367" s="54"/>
      <c r="I367" s="54"/>
      <c r="J367" s="31"/>
      <c r="K367" s="31">
        <f>4*3.6</f>
        <v>14.4</v>
      </c>
      <c r="L367" s="28"/>
    </row>
    <row r="368" spans="1:12" x14ac:dyDescent="0.2">
      <c r="A368" s="52">
        <v>46085</v>
      </c>
      <c r="B368" s="52"/>
      <c r="C368" s="54" t="s">
        <v>335</v>
      </c>
      <c r="D368" s="54"/>
      <c r="E368" s="54"/>
      <c r="F368" s="54"/>
      <c r="G368" s="54"/>
      <c r="H368" s="54"/>
      <c r="I368" s="54"/>
      <c r="J368" s="31"/>
      <c r="K368" s="31">
        <v>12.4</v>
      </c>
      <c r="L368" s="28"/>
    </row>
    <row r="369" spans="1:12" x14ac:dyDescent="0.2">
      <c r="A369" s="52">
        <v>46088</v>
      </c>
      <c r="B369" s="52"/>
      <c r="C369" s="54" t="s">
        <v>335</v>
      </c>
      <c r="D369" s="54"/>
      <c r="E369" s="54"/>
      <c r="F369" s="54"/>
      <c r="G369" s="54"/>
      <c r="H369" s="54"/>
      <c r="I369" s="54"/>
      <c r="J369" s="31"/>
      <c r="K369" s="31">
        <v>14.6</v>
      </c>
      <c r="L369" s="28"/>
    </row>
    <row r="370" spans="1:12" x14ac:dyDescent="0.2">
      <c r="A370" s="52">
        <v>46088</v>
      </c>
      <c r="B370" s="52"/>
      <c r="C370" s="54" t="s">
        <v>335</v>
      </c>
      <c r="D370" s="54"/>
      <c r="E370" s="54"/>
      <c r="F370" s="54"/>
      <c r="G370" s="54"/>
      <c r="H370" s="54"/>
      <c r="I370" s="54"/>
      <c r="J370" s="31"/>
      <c r="K370" s="31">
        <v>12</v>
      </c>
      <c r="L370" s="28"/>
    </row>
    <row r="371" spans="1:12" x14ac:dyDescent="0.2">
      <c r="A371" s="52">
        <v>46088</v>
      </c>
      <c r="B371" s="52"/>
      <c r="C371" s="54" t="s">
        <v>333</v>
      </c>
      <c r="D371" s="54"/>
      <c r="E371" s="54"/>
      <c r="F371" s="54"/>
      <c r="G371" s="54"/>
      <c r="H371" s="54"/>
      <c r="I371" s="54"/>
      <c r="J371" s="31"/>
      <c r="K371" s="31">
        <v>12</v>
      </c>
      <c r="L371" s="28"/>
    </row>
    <row r="372" spans="1:12" x14ac:dyDescent="0.2">
      <c r="A372" s="52">
        <v>46099</v>
      </c>
      <c r="B372" s="52"/>
      <c r="C372" s="54" t="s">
        <v>348</v>
      </c>
      <c r="D372" s="54"/>
      <c r="E372" s="54"/>
      <c r="F372" s="54"/>
      <c r="G372" s="54"/>
      <c r="H372" s="54"/>
      <c r="I372" s="54"/>
      <c r="J372" s="31"/>
      <c r="K372" s="31">
        <f>1.5+3.4+2.8</f>
        <v>7.7</v>
      </c>
      <c r="L372" s="28"/>
    </row>
    <row r="373" spans="1:12" x14ac:dyDescent="0.2">
      <c r="A373" s="52">
        <v>46100</v>
      </c>
      <c r="B373" s="52"/>
      <c r="C373" s="54" t="s">
        <v>348</v>
      </c>
      <c r="D373" s="54"/>
      <c r="E373" s="54"/>
      <c r="F373" s="54"/>
      <c r="G373" s="54"/>
      <c r="H373" s="54"/>
      <c r="I373" s="54"/>
      <c r="J373" s="31"/>
      <c r="K373" s="39">
        <f>2.45+3.4+16</f>
        <v>21.85</v>
      </c>
      <c r="L373" s="28"/>
    </row>
    <row r="374" spans="1:12" x14ac:dyDescent="0.2">
      <c r="A374" s="52">
        <v>46107</v>
      </c>
      <c r="B374" s="52"/>
      <c r="C374" s="61" t="s">
        <v>333</v>
      </c>
      <c r="D374" s="54"/>
      <c r="E374" s="54"/>
      <c r="F374" s="54"/>
      <c r="G374" s="54"/>
      <c r="H374" s="54"/>
      <c r="I374" s="54"/>
      <c r="J374" s="31"/>
      <c r="K374" s="31">
        <v>2.7</v>
      </c>
      <c r="L374" s="28"/>
    </row>
    <row r="375" spans="1:12" x14ac:dyDescent="0.2">
      <c r="A375" s="52">
        <v>46120</v>
      </c>
      <c r="B375" s="52"/>
      <c r="C375" s="70" t="s">
        <v>409</v>
      </c>
      <c r="D375" s="54"/>
      <c r="E375" s="54"/>
      <c r="F375" s="54"/>
      <c r="G375" s="54"/>
      <c r="H375" s="54"/>
      <c r="I375" s="54"/>
      <c r="J375" s="31"/>
      <c r="K375" s="31">
        <v>3.6</v>
      </c>
      <c r="L375" s="28"/>
    </row>
    <row r="376" spans="1:12" x14ac:dyDescent="0.2">
      <c r="A376" s="52"/>
      <c r="B376" s="52"/>
      <c r="C376" s="54"/>
      <c r="D376" s="54"/>
      <c r="E376" s="54"/>
      <c r="F376" s="54"/>
      <c r="G376" s="54"/>
      <c r="H376" s="54"/>
      <c r="I376" s="54"/>
      <c r="J376" s="31"/>
      <c r="K376" s="31"/>
      <c r="L376" s="28"/>
    </row>
    <row r="377" spans="1:12" x14ac:dyDescent="0.2">
      <c r="A377" s="55" t="s">
        <v>16</v>
      </c>
      <c r="B377" s="56"/>
      <c r="C377" s="56"/>
      <c r="D377" s="56"/>
      <c r="E377" s="56"/>
      <c r="F377" s="56"/>
      <c r="G377" s="56"/>
      <c r="H377" s="56"/>
      <c r="I377" s="57"/>
      <c r="J377" s="36">
        <f t="shared" ref="J377:L377" si="111">SUM(J365:J376)</f>
        <v>200</v>
      </c>
      <c r="K377" s="36">
        <f>SUM(K365:K376)</f>
        <v>122.82000000000001</v>
      </c>
      <c r="L377" s="36">
        <f t="shared" si="111"/>
        <v>0</v>
      </c>
    </row>
    <row r="378" spans="1:12" x14ac:dyDescent="0.2">
      <c r="A378" s="27">
        <v>60</v>
      </c>
      <c r="B378" s="28"/>
      <c r="C378" s="28" t="s">
        <v>112</v>
      </c>
      <c r="D378" s="29" t="s">
        <v>319</v>
      </c>
      <c r="E378" s="30" t="s">
        <v>388</v>
      </c>
      <c r="F378" s="31"/>
      <c r="G378" s="31"/>
      <c r="H378" s="31" t="s">
        <v>114</v>
      </c>
      <c r="I378" s="31">
        <v>0</v>
      </c>
      <c r="J378" s="32">
        <f t="shared" ref="J378:K378" si="112">+J383</f>
        <v>200</v>
      </c>
      <c r="K378" s="33">
        <f t="shared" si="112"/>
        <v>5.4</v>
      </c>
      <c r="L378" s="34">
        <f>+I378+J378-K378</f>
        <v>194.6</v>
      </c>
    </row>
    <row r="379" spans="1:12" x14ac:dyDescent="0.2">
      <c r="A379" s="58" t="s">
        <v>15</v>
      </c>
      <c r="B379" s="58"/>
      <c r="C379" s="59" t="s">
        <v>3</v>
      </c>
      <c r="D379" s="59"/>
      <c r="E379" s="59"/>
      <c r="F379" s="59"/>
      <c r="G379" s="59"/>
      <c r="H379" s="59"/>
      <c r="I379" s="59"/>
      <c r="J379" s="35" t="s">
        <v>8</v>
      </c>
      <c r="K379" s="35" t="s">
        <v>9</v>
      </c>
      <c r="L379" s="35" t="s">
        <v>10</v>
      </c>
    </row>
    <row r="380" spans="1:12" x14ac:dyDescent="0.2">
      <c r="A380" s="52">
        <v>46052</v>
      </c>
      <c r="B380" s="52"/>
      <c r="C380" s="54" t="s">
        <v>277</v>
      </c>
      <c r="D380" s="54"/>
      <c r="E380" s="54"/>
      <c r="F380" s="54"/>
      <c r="G380" s="54"/>
      <c r="H380" s="54"/>
      <c r="I380" s="54"/>
      <c r="J380" s="31">
        <v>200</v>
      </c>
      <c r="K380" s="31"/>
      <c r="L380" s="28"/>
    </row>
    <row r="381" spans="1:12" x14ac:dyDescent="0.2">
      <c r="A381" s="52">
        <v>46099</v>
      </c>
      <c r="B381" s="52"/>
      <c r="C381" s="54" t="s">
        <v>338</v>
      </c>
      <c r="D381" s="54"/>
      <c r="E381" s="54"/>
      <c r="F381" s="54"/>
      <c r="G381" s="54"/>
      <c r="H381" s="54"/>
      <c r="I381" s="54"/>
      <c r="J381" s="31"/>
      <c r="K381" s="31">
        <v>5.4</v>
      </c>
      <c r="L381" s="28"/>
    </row>
    <row r="382" spans="1:12" x14ac:dyDescent="0.2">
      <c r="A382" s="52"/>
      <c r="B382" s="52"/>
      <c r="C382" s="54"/>
      <c r="D382" s="54"/>
      <c r="E382" s="54"/>
      <c r="F382" s="54"/>
      <c r="G382" s="54"/>
      <c r="H382" s="54"/>
      <c r="I382" s="54"/>
      <c r="J382" s="31"/>
      <c r="K382" s="31"/>
      <c r="L382" s="28"/>
    </row>
    <row r="383" spans="1:12" x14ac:dyDescent="0.2">
      <c r="A383" s="55" t="s">
        <v>16</v>
      </c>
      <c r="B383" s="56"/>
      <c r="C383" s="56"/>
      <c r="D383" s="56"/>
      <c r="E383" s="56"/>
      <c r="F383" s="56"/>
      <c r="G383" s="56"/>
      <c r="H383" s="56"/>
      <c r="I383" s="57"/>
      <c r="J383" s="36">
        <f>SUM(J380:J382)</f>
        <v>200</v>
      </c>
      <c r="K383" s="36">
        <f>SUM(K380:K382)</f>
        <v>5.4</v>
      </c>
      <c r="L383" s="36">
        <f>SUM(L380:L382)</f>
        <v>0</v>
      </c>
    </row>
    <row r="384" spans="1:12" x14ac:dyDescent="0.2">
      <c r="A384" s="27">
        <v>61</v>
      </c>
      <c r="B384" s="28"/>
      <c r="C384" s="47" t="s">
        <v>178</v>
      </c>
      <c r="D384" s="46" t="s">
        <v>401</v>
      </c>
      <c r="E384" s="30" t="s">
        <v>388</v>
      </c>
      <c r="F384" s="31"/>
      <c r="G384" s="31"/>
      <c r="H384" s="31" t="s">
        <v>14</v>
      </c>
      <c r="I384" s="31">
        <v>110</v>
      </c>
      <c r="J384" s="32">
        <f t="shared" ref="J384:K384" si="113">+J389</f>
        <v>0</v>
      </c>
      <c r="K384" s="33">
        <f t="shared" si="113"/>
        <v>0</v>
      </c>
      <c r="L384" s="34">
        <f>+I384+J384-K384</f>
        <v>110</v>
      </c>
    </row>
    <row r="385" spans="1:12" x14ac:dyDescent="0.2">
      <c r="A385" s="58" t="s">
        <v>15</v>
      </c>
      <c r="B385" s="58"/>
      <c r="C385" s="59" t="s">
        <v>3</v>
      </c>
      <c r="D385" s="59"/>
      <c r="E385" s="59"/>
      <c r="F385" s="59"/>
      <c r="G385" s="59"/>
      <c r="H385" s="59"/>
      <c r="I385" s="59"/>
      <c r="J385" s="35" t="s">
        <v>8</v>
      </c>
      <c r="K385" s="35" t="s">
        <v>9</v>
      </c>
      <c r="L385" s="35" t="s">
        <v>10</v>
      </c>
    </row>
    <row r="386" spans="1:12" x14ac:dyDescent="0.2">
      <c r="A386" s="52"/>
      <c r="B386" s="52"/>
      <c r="C386" s="54"/>
      <c r="D386" s="54"/>
      <c r="E386" s="54"/>
      <c r="F386" s="54"/>
      <c r="G386" s="54"/>
      <c r="H386" s="54"/>
      <c r="I386" s="54"/>
      <c r="J386" s="31"/>
      <c r="K386" s="31"/>
      <c r="L386" s="28"/>
    </row>
    <row r="387" spans="1:12" x14ac:dyDescent="0.2">
      <c r="A387" s="52"/>
      <c r="B387" s="52"/>
      <c r="C387" s="54"/>
      <c r="D387" s="54"/>
      <c r="E387" s="54"/>
      <c r="F387" s="54"/>
      <c r="G387" s="54"/>
      <c r="H387" s="54"/>
      <c r="I387" s="54"/>
      <c r="J387" s="31"/>
      <c r="K387" s="31"/>
      <c r="L387" s="28"/>
    </row>
    <row r="388" spans="1:12" x14ac:dyDescent="0.2">
      <c r="A388" s="52"/>
      <c r="B388" s="52"/>
      <c r="C388" s="54"/>
      <c r="D388" s="54"/>
      <c r="E388" s="54"/>
      <c r="F388" s="54"/>
      <c r="G388" s="54"/>
      <c r="H388" s="54"/>
      <c r="I388" s="54"/>
      <c r="J388" s="31"/>
      <c r="K388" s="31"/>
      <c r="L388" s="28"/>
    </row>
    <row r="389" spans="1:12" x14ac:dyDescent="0.2">
      <c r="A389" s="55" t="s">
        <v>16</v>
      </c>
      <c r="B389" s="56"/>
      <c r="C389" s="56"/>
      <c r="D389" s="56"/>
      <c r="E389" s="56"/>
      <c r="F389" s="56"/>
      <c r="G389" s="56"/>
      <c r="H389" s="56"/>
      <c r="I389" s="57"/>
      <c r="J389" s="36">
        <f>SUM(J386:J388)</f>
        <v>0</v>
      </c>
      <c r="K389" s="36">
        <f>SUM(K386:K388)</f>
        <v>0</v>
      </c>
      <c r="L389" s="36">
        <f>SUM(L386:L388)</f>
        <v>0</v>
      </c>
    </row>
    <row r="390" spans="1:12" x14ac:dyDescent="0.2">
      <c r="A390" s="27">
        <v>62</v>
      </c>
      <c r="B390" s="28"/>
      <c r="C390" s="47" t="s">
        <v>178</v>
      </c>
      <c r="D390" s="46" t="s">
        <v>400</v>
      </c>
      <c r="E390" s="30" t="s">
        <v>388</v>
      </c>
      <c r="F390" s="31"/>
      <c r="G390" s="31"/>
      <c r="H390" s="31" t="s">
        <v>14</v>
      </c>
      <c r="I390" s="31">
        <v>110</v>
      </c>
      <c r="J390" s="32">
        <f t="shared" ref="J390:K390" si="114">+J395</f>
        <v>0</v>
      </c>
      <c r="K390" s="33">
        <f t="shared" si="114"/>
        <v>0</v>
      </c>
      <c r="L390" s="34">
        <f>+I390+J390-K390</f>
        <v>110</v>
      </c>
    </row>
    <row r="391" spans="1:12" x14ac:dyDescent="0.2">
      <c r="A391" s="58" t="s">
        <v>15</v>
      </c>
      <c r="B391" s="58"/>
      <c r="C391" s="59" t="s">
        <v>3</v>
      </c>
      <c r="D391" s="59"/>
      <c r="E391" s="59"/>
      <c r="F391" s="59"/>
      <c r="G391" s="59"/>
      <c r="H391" s="59"/>
      <c r="I391" s="59"/>
      <c r="J391" s="35" t="s">
        <v>8</v>
      </c>
      <c r="K391" s="35" t="s">
        <v>9</v>
      </c>
      <c r="L391" s="35" t="s">
        <v>10</v>
      </c>
    </row>
    <row r="392" spans="1:12" x14ac:dyDescent="0.2">
      <c r="A392" s="52"/>
      <c r="B392" s="52"/>
      <c r="C392" s="54"/>
      <c r="D392" s="54"/>
      <c r="E392" s="54"/>
      <c r="F392" s="54"/>
      <c r="G392" s="54"/>
      <c r="H392" s="54"/>
      <c r="I392" s="54"/>
      <c r="J392" s="31"/>
      <c r="K392" s="31"/>
      <c r="L392" s="28"/>
    </row>
    <row r="393" spans="1:12" x14ac:dyDescent="0.2">
      <c r="A393" s="52"/>
      <c r="B393" s="52"/>
      <c r="C393" s="54"/>
      <c r="D393" s="54"/>
      <c r="E393" s="54"/>
      <c r="F393" s="54"/>
      <c r="G393" s="54"/>
      <c r="H393" s="54"/>
      <c r="I393" s="54"/>
      <c r="J393" s="31"/>
      <c r="K393" s="31"/>
      <c r="L393" s="28"/>
    </row>
    <row r="394" spans="1:12" x14ac:dyDescent="0.2">
      <c r="A394" s="52"/>
      <c r="B394" s="52"/>
      <c r="C394" s="54"/>
      <c r="D394" s="54"/>
      <c r="E394" s="54"/>
      <c r="F394" s="54"/>
      <c r="G394" s="54"/>
      <c r="H394" s="54"/>
      <c r="I394" s="54"/>
      <c r="J394" s="31"/>
      <c r="K394" s="31"/>
      <c r="L394" s="28"/>
    </row>
    <row r="395" spans="1:12" x14ac:dyDescent="0.2">
      <c r="A395" s="55" t="s">
        <v>16</v>
      </c>
      <c r="B395" s="56"/>
      <c r="C395" s="56"/>
      <c r="D395" s="56"/>
      <c r="E395" s="56"/>
      <c r="F395" s="56"/>
      <c r="G395" s="56"/>
      <c r="H395" s="56"/>
      <c r="I395" s="57"/>
      <c r="J395" s="36">
        <f>SUM(J392:J394)</f>
        <v>0</v>
      </c>
      <c r="K395" s="36">
        <f>SUM(K392:K394)</f>
        <v>0</v>
      </c>
      <c r="L395" s="36">
        <f>SUM(L392:L394)</f>
        <v>0</v>
      </c>
    </row>
    <row r="396" spans="1:12" x14ac:dyDescent="0.2">
      <c r="A396" s="27">
        <v>63</v>
      </c>
      <c r="B396" s="28"/>
      <c r="C396" s="47" t="s">
        <v>178</v>
      </c>
      <c r="D396" s="29" t="s">
        <v>278</v>
      </c>
      <c r="E396" s="30" t="s">
        <v>388</v>
      </c>
      <c r="F396" s="31"/>
      <c r="G396" s="31"/>
      <c r="H396" s="31" t="s">
        <v>14</v>
      </c>
      <c r="I396" s="31">
        <v>22</v>
      </c>
      <c r="J396" s="32">
        <f t="shared" ref="J396:K396" si="115">+J406</f>
        <v>2000</v>
      </c>
      <c r="K396" s="33">
        <f t="shared" si="115"/>
        <v>1222</v>
      </c>
      <c r="L396" s="34">
        <f>+I396+J396-K396</f>
        <v>800</v>
      </c>
    </row>
    <row r="397" spans="1:12" x14ac:dyDescent="0.2">
      <c r="A397" s="58" t="s">
        <v>15</v>
      </c>
      <c r="B397" s="58"/>
      <c r="C397" s="59" t="s">
        <v>3</v>
      </c>
      <c r="D397" s="59"/>
      <c r="E397" s="59"/>
      <c r="F397" s="59"/>
      <c r="G397" s="59"/>
      <c r="H397" s="59"/>
      <c r="I397" s="59"/>
      <c r="J397" s="35" t="s">
        <v>8</v>
      </c>
      <c r="K397" s="35" t="s">
        <v>9</v>
      </c>
      <c r="L397" s="35" t="s">
        <v>10</v>
      </c>
    </row>
    <row r="398" spans="1:12" x14ac:dyDescent="0.2">
      <c r="A398" s="52">
        <v>46052</v>
      </c>
      <c r="B398" s="52"/>
      <c r="C398" s="54" t="s">
        <v>277</v>
      </c>
      <c r="D398" s="54"/>
      <c r="E398" s="54"/>
      <c r="F398" s="54"/>
      <c r="G398" s="54"/>
      <c r="H398" s="54"/>
      <c r="I398" s="54"/>
      <c r="J398" s="31">
        <v>2000</v>
      </c>
      <c r="K398" s="31"/>
      <c r="L398" s="28"/>
    </row>
    <row r="399" spans="1:12" x14ac:dyDescent="0.2">
      <c r="A399" s="52">
        <v>46064</v>
      </c>
      <c r="B399" s="52"/>
      <c r="C399" s="54" t="s">
        <v>332</v>
      </c>
      <c r="D399" s="54"/>
      <c r="E399" s="54"/>
      <c r="F399" s="54"/>
      <c r="G399" s="54"/>
      <c r="H399" s="54"/>
      <c r="I399" s="54"/>
      <c r="J399" s="31"/>
      <c r="K399" s="31">
        <f>20*12+22</f>
        <v>262</v>
      </c>
      <c r="L399" s="28"/>
    </row>
    <row r="400" spans="1:12" x14ac:dyDescent="0.2">
      <c r="A400" s="52">
        <v>46072</v>
      </c>
      <c r="B400" s="52"/>
      <c r="C400" s="54" t="s">
        <v>332</v>
      </c>
      <c r="D400" s="54"/>
      <c r="E400" s="54"/>
      <c r="F400" s="54"/>
      <c r="G400" s="54"/>
      <c r="H400" s="54"/>
      <c r="I400" s="54"/>
      <c r="J400" s="31"/>
      <c r="K400" s="31">
        <v>40</v>
      </c>
      <c r="L400" s="28"/>
    </row>
    <row r="401" spans="1:12" x14ac:dyDescent="0.2">
      <c r="A401" s="52">
        <v>46084</v>
      </c>
      <c r="B401" s="52"/>
      <c r="C401" s="54" t="s">
        <v>335</v>
      </c>
      <c r="D401" s="54"/>
      <c r="E401" s="54"/>
      <c r="F401" s="54"/>
      <c r="G401" s="54"/>
      <c r="H401" s="54"/>
      <c r="I401" s="54"/>
      <c r="J401" s="31"/>
      <c r="K401" s="40">
        <f>14*6</f>
        <v>84</v>
      </c>
      <c r="L401" s="28"/>
    </row>
    <row r="402" spans="1:12" x14ac:dyDescent="0.2">
      <c r="A402" s="52">
        <v>46093</v>
      </c>
      <c r="B402" s="52"/>
      <c r="C402" s="54" t="s">
        <v>340</v>
      </c>
      <c r="D402" s="54"/>
      <c r="E402" s="54"/>
      <c r="F402" s="54"/>
      <c r="G402" s="54"/>
      <c r="H402" s="54"/>
      <c r="I402" s="54"/>
      <c r="J402" s="31"/>
      <c r="K402" s="40">
        <v>236</v>
      </c>
      <c r="L402" s="28"/>
    </row>
    <row r="403" spans="1:12" x14ac:dyDescent="0.2">
      <c r="A403" s="52">
        <v>46093</v>
      </c>
      <c r="B403" s="52"/>
      <c r="C403" s="54" t="s">
        <v>342</v>
      </c>
      <c r="D403" s="54"/>
      <c r="E403" s="54"/>
      <c r="F403" s="54"/>
      <c r="G403" s="54"/>
      <c r="H403" s="54"/>
      <c r="I403" s="54"/>
      <c r="J403" s="31"/>
      <c r="K403" s="40">
        <v>300</v>
      </c>
      <c r="L403" s="28"/>
    </row>
    <row r="404" spans="1:12" x14ac:dyDescent="0.2">
      <c r="A404" s="52">
        <v>46107</v>
      </c>
      <c r="B404" s="52"/>
      <c r="C404" s="61" t="s">
        <v>363</v>
      </c>
      <c r="D404" s="54"/>
      <c r="E404" s="54"/>
      <c r="F404" s="54"/>
      <c r="G404" s="54"/>
      <c r="H404" s="54"/>
      <c r="I404" s="54"/>
      <c r="J404" s="31"/>
      <c r="K404" s="40">
        <v>300</v>
      </c>
      <c r="L404" s="28"/>
    </row>
    <row r="405" spans="1:12" x14ac:dyDescent="0.2">
      <c r="A405" s="52"/>
      <c r="B405" s="52"/>
      <c r="C405" s="54"/>
      <c r="D405" s="54"/>
      <c r="E405" s="54"/>
      <c r="F405" s="54"/>
      <c r="G405" s="54"/>
      <c r="H405" s="54"/>
      <c r="I405" s="54"/>
      <c r="J405" s="31"/>
      <c r="K405" s="31"/>
      <c r="L405" s="28"/>
    </row>
    <row r="406" spans="1:12" x14ac:dyDescent="0.2">
      <c r="A406" s="55" t="s">
        <v>16</v>
      </c>
      <c r="B406" s="56"/>
      <c r="C406" s="56"/>
      <c r="D406" s="56"/>
      <c r="E406" s="56"/>
      <c r="F406" s="56"/>
      <c r="G406" s="56"/>
      <c r="H406" s="56"/>
      <c r="I406" s="57"/>
      <c r="J406" s="36">
        <f>SUM(J398:J405)</f>
        <v>2000</v>
      </c>
      <c r="K406" s="36">
        <f>SUM(K398:K405)</f>
        <v>1222</v>
      </c>
      <c r="L406" s="36">
        <f>SUM(L398:L405)</f>
        <v>0</v>
      </c>
    </row>
    <row r="407" spans="1:12" x14ac:dyDescent="0.2">
      <c r="A407" s="27">
        <v>64</v>
      </c>
      <c r="B407" s="28"/>
      <c r="C407" s="47" t="s">
        <v>178</v>
      </c>
      <c r="D407" s="29" t="s">
        <v>279</v>
      </c>
      <c r="E407" s="30" t="s">
        <v>388</v>
      </c>
      <c r="F407" s="31"/>
      <c r="G407" s="31"/>
      <c r="H407" s="31" t="s">
        <v>14</v>
      </c>
      <c r="I407" s="31">
        <v>0</v>
      </c>
      <c r="J407" s="32">
        <f t="shared" ref="J407:K407" si="116">+J413</f>
        <v>1000</v>
      </c>
      <c r="K407" s="33">
        <f t="shared" si="116"/>
        <v>300</v>
      </c>
      <c r="L407" s="34">
        <f>+I407+J407-K407</f>
        <v>700</v>
      </c>
    </row>
    <row r="408" spans="1:12" x14ac:dyDescent="0.2">
      <c r="A408" s="58" t="s">
        <v>15</v>
      </c>
      <c r="B408" s="58"/>
      <c r="C408" s="59" t="s">
        <v>3</v>
      </c>
      <c r="D408" s="59"/>
      <c r="E408" s="59"/>
      <c r="F408" s="59"/>
      <c r="G408" s="59"/>
      <c r="H408" s="59"/>
      <c r="I408" s="59"/>
      <c r="J408" s="35" t="s">
        <v>8</v>
      </c>
      <c r="K408" s="35" t="s">
        <v>9</v>
      </c>
      <c r="L408" s="35" t="s">
        <v>10</v>
      </c>
    </row>
    <row r="409" spans="1:12" x14ac:dyDescent="0.2">
      <c r="A409" s="52">
        <v>46052</v>
      </c>
      <c r="B409" s="52"/>
      <c r="C409" s="54" t="s">
        <v>277</v>
      </c>
      <c r="D409" s="54"/>
      <c r="E409" s="54"/>
      <c r="F409" s="54"/>
      <c r="G409" s="54"/>
      <c r="H409" s="54"/>
      <c r="I409" s="54"/>
      <c r="J409" s="31">
        <v>1000</v>
      </c>
      <c r="K409" s="31"/>
      <c r="L409" s="28"/>
    </row>
    <row r="410" spans="1:12" x14ac:dyDescent="0.2">
      <c r="A410" s="52">
        <v>46093</v>
      </c>
      <c r="B410" s="52"/>
      <c r="C410" s="54" t="s">
        <v>340</v>
      </c>
      <c r="D410" s="54"/>
      <c r="E410" s="54"/>
      <c r="F410" s="54"/>
      <c r="G410" s="54"/>
      <c r="H410" s="54"/>
      <c r="I410" s="54"/>
      <c r="J410" s="31"/>
      <c r="K410" s="40">
        <v>100</v>
      </c>
      <c r="L410" s="28"/>
    </row>
    <row r="411" spans="1:12" x14ac:dyDescent="0.2">
      <c r="A411" s="52">
        <v>46105</v>
      </c>
      <c r="B411" s="52"/>
      <c r="C411" s="54" t="s">
        <v>340</v>
      </c>
      <c r="D411" s="54"/>
      <c r="E411" s="54"/>
      <c r="F411" s="54"/>
      <c r="G411" s="54"/>
      <c r="H411" s="54"/>
      <c r="I411" s="54"/>
      <c r="J411" s="31"/>
      <c r="K411" s="40">
        <v>200</v>
      </c>
      <c r="L411" s="28"/>
    </row>
    <row r="412" spans="1:12" x14ac:dyDescent="0.2">
      <c r="A412" s="52"/>
      <c r="B412" s="52"/>
      <c r="C412" s="54"/>
      <c r="D412" s="54"/>
      <c r="E412" s="54"/>
      <c r="F412" s="54"/>
      <c r="G412" s="54"/>
      <c r="H412" s="54"/>
      <c r="I412" s="54"/>
      <c r="J412" s="31"/>
      <c r="K412" s="31"/>
      <c r="L412" s="28"/>
    </row>
    <row r="413" spans="1:12" x14ac:dyDescent="0.2">
      <c r="A413" s="55" t="s">
        <v>16</v>
      </c>
      <c r="B413" s="56"/>
      <c r="C413" s="56"/>
      <c r="D413" s="56"/>
      <c r="E413" s="56"/>
      <c r="F413" s="56"/>
      <c r="G413" s="56"/>
      <c r="H413" s="56"/>
      <c r="I413" s="57"/>
      <c r="J413" s="36">
        <f>SUM(J409:J412)</f>
        <v>1000</v>
      </c>
      <c r="K413" s="36">
        <f>SUM(K409:K412)</f>
        <v>300</v>
      </c>
      <c r="L413" s="36">
        <f>SUM(L409:L412)</f>
        <v>0</v>
      </c>
    </row>
    <row r="414" spans="1:12" x14ac:dyDescent="0.2">
      <c r="A414" s="27">
        <v>65</v>
      </c>
      <c r="B414" s="28"/>
      <c r="C414" s="47" t="s">
        <v>178</v>
      </c>
      <c r="D414" s="29" t="s">
        <v>280</v>
      </c>
      <c r="E414" s="30" t="s">
        <v>388</v>
      </c>
      <c r="F414" s="31"/>
      <c r="G414" s="31"/>
      <c r="H414" s="31" t="s">
        <v>14</v>
      </c>
      <c r="I414" s="31">
        <v>0</v>
      </c>
      <c r="J414" s="32">
        <f t="shared" ref="J414:K414" si="117">+J420</f>
        <v>1000</v>
      </c>
      <c r="K414" s="33">
        <f t="shared" si="117"/>
        <v>400</v>
      </c>
      <c r="L414" s="34">
        <f>+I414+J414-K414</f>
        <v>600</v>
      </c>
    </row>
    <row r="415" spans="1:12" x14ac:dyDescent="0.2">
      <c r="A415" s="58" t="s">
        <v>15</v>
      </c>
      <c r="B415" s="58"/>
      <c r="C415" s="59" t="s">
        <v>3</v>
      </c>
      <c r="D415" s="59"/>
      <c r="E415" s="59"/>
      <c r="F415" s="59"/>
      <c r="G415" s="59"/>
      <c r="H415" s="59"/>
      <c r="I415" s="59"/>
      <c r="J415" s="35" t="s">
        <v>8</v>
      </c>
      <c r="K415" s="35" t="s">
        <v>9</v>
      </c>
      <c r="L415" s="35" t="s">
        <v>10</v>
      </c>
    </row>
    <row r="416" spans="1:12" x14ac:dyDescent="0.2">
      <c r="A416" s="52">
        <v>46052</v>
      </c>
      <c r="B416" s="52"/>
      <c r="C416" s="54" t="s">
        <v>277</v>
      </c>
      <c r="D416" s="54"/>
      <c r="E416" s="54"/>
      <c r="F416" s="54"/>
      <c r="G416" s="54"/>
      <c r="H416" s="54"/>
      <c r="I416" s="54"/>
      <c r="J416" s="31">
        <v>1000</v>
      </c>
      <c r="K416" s="31"/>
      <c r="L416" s="28"/>
    </row>
    <row r="417" spans="1:12" x14ac:dyDescent="0.2">
      <c r="A417" s="52">
        <v>46084</v>
      </c>
      <c r="B417" s="52"/>
      <c r="C417" s="54" t="s">
        <v>335</v>
      </c>
      <c r="D417" s="54"/>
      <c r="E417" s="54"/>
      <c r="F417" s="54"/>
      <c r="G417" s="54"/>
      <c r="H417" s="54"/>
      <c r="I417" s="54"/>
      <c r="J417" s="31"/>
      <c r="K417" s="31">
        <v>200</v>
      </c>
      <c r="L417" s="28"/>
    </row>
    <row r="418" spans="1:12" x14ac:dyDescent="0.2">
      <c r="A418" s="52">
        <v>46105</v>
      </c>
      <c r="B418" s="52"/>
      <c r="C418" s="61" t="s">
        <v>402</v>
      </c>
      <c r="D418" s="54"/>
      <c r="E418" s="54"/>
      <c r="F418" s="54"/>
      <c r="G418" s="54"/>
      <c r="H418" s="54"/>
      <c r="I418" s="54"/>
      <c r="J418" s="31"/>
      <c r="K418" s="31">
        <v>200</v>
      </c>
      <c r="L418" s="28"/>
    </row>
    <row r="419" spans="1:12" x14ac:dyDescent="0.2">
      <c r="A419" s="52"/>
      <c r="B419" s="52"/>
      <c r="C419" s="54"/>
      <c r="D419" s="54"/>
      <c r="E419" s="54"/>
      <c r="F419" s="54"/>
      <c r="G419" s="54"/>
      <c r="H419" s="54"/>
      <c r="I419" s="54"/>
      <c r="J419" s="31"/>
      <c r="K419" s="31"/>
      <c r="L419" s="28"/>
    </row>
    <row r="420" spans="1:12" x14ac:dyDescent="0.2">
      <c r="A420" s="55" t="s">
        <v>16</v>
      </c>
      <c r="B420" s="56"/>
      <c r="C420" s="56"/>
      <c r="D420" s="56"/>
      <c r="E420" s="56"/>
      <c r="F420" s="56"/>
      <c r="G420" s="56"/>
      <c r="H420" s="56"/>
      <c r="I420" s="57"/>
      <c r="J420" s="36">
        <f t="shared" ref="J420:L420" si="118">SUM(J416:J419)</f>
        <v>1000</v>
      </c>
      <c r="K420" s="36">
        <f t="shared" si="118"/>
        <v>400</v>
      </c>
      <c r="L420" s="36">
        <f t="shared" si="118"/>
        <v>0</v>
      </c>
    </row>
    <row r="421" spans="1:12" x14ac:dyDescent="0.2">
      <c r="A421" s="27">
        <v>66</v>
      </c>
      <c r="B421" s="28"/>
      <c r="C421" s="47" t="s">
        <v>178</v>
      </c>
      <c r="D421" s="29" t="s">
        <v>326</v>
      </c>
      <c r="E421" s="30" t="s">
        <v>388</v>
      </c>
      <c r="F421" s="31"/>
      <c r="G421" s="31"/>
      <c r="H421" s="31" t="s">
        <v>14</v>
      </c>
      <c r="I421" s="31">
        <v>177</v>
      </c>
      <c r="J421" s="32">
        <f t="shared" ref="J421:K421" si="119">+J426</f>
        <v>0</v>
      </c>
      <c r="K421" s="33">
        <f t="shared" si="119"/>
        <v>0</v>
      </c>
      <c r="L421" s="37">
        <f>+I421+J421-K421</f>
        <v>177</v>
      </c>
    </row>
    <row r="422" spans="1:12" x14ac:dyDescent="0.2">
      <c r="A422" s="58" t="s">
        <v>15</v>
      </c>
      <c r="B422" s="58"/>
      <c r="C422" s="59" t="s">
        <v>3</v>
      </c>
      <c r="D422" s="59"/>
      <c r="E422" s="59"/>
      <c r="F422" s="59"/>
      <c r="G422" s="59"/>
      <c r="H422" s="59"/>
      <c r="I422" s="59"/>
      <c r="J422" s="35" t="s">
        <v>8</v>
      </c>
      <c r="K422" s="35" t="s">
        <v>9</v>
      </c>
      <c r="L422" s="35" t="s">
        <v>10</v>
      </c>
    </row>
    <row r="423" spans="1:12" x14ac:dyDescent="0.2">
      <c r="A423" s="52"/>
      <c r="B423" s="52"/>
      <c r="C423" s="54"/>
      <c r="D423" s="54"/>
      <c r="E423" s="54"/>
      <c r="F423" s="54"/>
      <c r="G423" s="54"/>
      <c r="H423" s="54"/>
      <c r="I423" s="54"/>
      <c r="J423" s="31"/>
      <c r="K423" s="31"/>
      <c r="L423" s="28"/>
    </row>
    <row r="424" spans="1:12" x14ac:dyDescent="0.2">
      <c r="A424" s="52"/>
      <c r="B424" s="52"/>
      <c r="C424" s="54"/>
      <c r="D424" s="54"/>
      <c r="E424" s="54"/>
      <c r="F424" s="54"/>
      <c r="G424" s="54"/>
      <c r="H424" s="54"/>
      <c r="I424" s="54"/>
      <c r="J424" s="31"/>
      <c r="K424" s="31"/>
      <c r="L424" s="28"/>
    </row>
    <row r="425" spans="1:12" x14ac:dyDescent="0.2">
      <c r="A425" s="52"/>
      <c r="B425" s="52"/>
      <c r="C425" s="54"/>
      <c r="D425" s="54"/>
      <c r="E425" s="54"/>
      <c r="F425" s="54"/>
      <c r="G425" s="54"/>
      <c r="H425" s="54"/>
      <c r="I425" s="54"/>
      <c r="J425" s="31"/>
      <c r="K425" s="31"/>
      <c r="L425" s="28"/>
    </row>
    <row r="426" spans="1:12" x14ac:dyDescent="0.2">
      <c r="A426" s="55" t="s">
        <v>16</v>
      </c>
      <c r="B426" s="56"/>
      <c r="C426" s="56"/>
      <c r="D426" s="56"/>
      <c r="E426" s="56"/>
      <c r="F426" s="56"/>
      <c r="G426" s="56"/>
      <c r="H426" s="56"/>
      <c r="I426" s="57"/>
      <c r="J426" s="36">
        <f t="shared" ref="J426:L426" si="120">SUM(J423:J425)</f>
        <v>0</v>
      </c>
      <c r="K426" s="36">
        <f t="shared" si="120"/>
        <v>0</v>
      </c>
      <c r="L426" s="36">
        <f t="shared" si="120"/>
        <v>0</v>
      </c>
    </row>
    <row r="427" spans="1:12" x14ac:dyDescent="0.2">
      <c r="A427" s="27">
        <v>67</v>
      </c>
      <c r="B427" s="28"/>
      <c r="C427" s="47" t="s">
        <v>178</v>
      </c>
      <c r="D427" s="29" t="s">
        <v>327</v>
      </c>
      <c r="E427" s="30" t="s">
        <v>388</v>
      </c>
      <c r="F427" s="31"/>
      <c r="G427" s="31"/>
      <c r="H427" s="31" t="s">
        <v>14</v>
      </c>
      <c r="I427" s="31">
        <v>9</v>
      </c>
      <c r="J427" s="32">
        <f t="shared" ref="J427:K427" si="121">+J432</f>
        <v>0</v>
      </c>
      <c r="K427" s="33">
        <f t="shared" si="121"/>
        <v>0</v>
      </c>
      <c r="L427" s="38">
        <f>+I427+J427-K427</f>
        <v>9</v>
      </c>
    </row>
    <row r="428" spans="1:12" x14ac:dyDescent="0.2">
      <c r="A428" s="58" t="s">
        <v>15</v>
      </c>
      <c r="B428" s="58"/>
      <c r="C428" s="59" t="s">
        <v>3</v>
      </c>
      <c r="D428" s="59"/>
      <c r="E428" s="59"/>
      <c r="F428" s="59"/>
      <c r="G428" s="59"/>
      <c r="H428" s="59"/>
      <c r="I428" s="59"/>
      <c r="J428" s="35" t="s">
        <v>8</v>
      </c>
      <c r="K428" s="35" t="s">
        <v>9</v>
      </c>
      <c r="L428" s="35" t="s">
        <v>10</v>
      </c>
    </row>
    <row r="429" spans="1:12" x14ac:dyDescent="0.2">
      <c r="A429" s="52"/>
      <c r="B429" s="52"/>
      <c r="C429" s="54"/>
      <c r="D429" s="54"/>
      <c r="E429" s="54"/>
      <c r="F429" s="54"/>
      <c r="G429" s="54"/>
      <c r="H429" s="54"/>
      <c r="I429" s="54"/>
      <c r="J429" s="31"/>
      <c r="K429" s="31"/>
      <c r="L429" s="28"/>
    </row>
    <row r="430" spans="1:12" x14ac:dyDescent="0.2">
      <c r="A430" s="52"/>
      <c r="B430" s="52"/>
      <c r="C430" s="54"/>
      <c r="D430" s="54"/>
      <c r="E430" s="54"/>
      <c r="F430" s="54"/>
      <c r="G430" s="54"/>
      <c r="H430" s="54"/>
      <c r="I430" s="54"/>
      <c r="J430" s="31"/>
      <c r="K430" s="31"/>
      <c r="L430" s="28"/>
    </row>
    <row r="431" spans="1:12" x14ac:dyDescent="0.2">
      <c r="A431" s="52"/>
      <c r="B431" s="52"/>
      <c r="C431" s="54"/>
      <c r="D431" s="54"/>
      <c r="E431" s="54"/>
      <c r="F431" s="54"/>
      <c r="G431" s="54"/>
      <c r="H431" s="54"/>
      <c r="I431" s="54"/>
      <c r="J431" s="31"/>
      <c r="K431" s="31"/>
      <c r="L431" s="28"/>
    </row>
    <row r="432" spans="1:12" x14ac:dyDescent="0.2">
      <c r="A432" s="55" t="s">
        <v>16</v>
      </c>
      <c r="B432" s="56"/>
      <c r="C432" s="56"/>
      <c r="D432" s="56"/>
      <c r="E432" s="56"/>
      <c r="F432" s="56"/>
      <c r="G432" s="56"/>
      <c r="H432" s="56"/>
      <c r="I432" s="57"/>
      <c r="J432" s="36">
        <f t="shared" ref="J432:L432" si="122">SUM(J429:J431)</f>
        <v>0</v>
      </c>
      <c r="K432" s="36">
        <f t="shared" si="122"/>
        <v>0</v>
      </c>
      <c r="L432" s="36">
        <f t="shared" si="122"/>
        <v>0</v>
      </c>
    </row>
    <row r="433" spans="1:12" x14ac:dyDescent="0.2">
      <c r="A433" s="27">
        <v>68</v>
      </c>
      <c r="B433" s="28"/>
      <c r="C433" s="47" t="s">
        <v>178</v>
      </c>
      <c r="D433" s="29" t="s">
        <v>328</v>
      </c>
      <c r="E433" s="30" t="s">
        <v>388</v>
      </c>
      <c r="F433" s="31"/>
      <c r="G433" s="31"/>
      <c r="H433" s="31" t="s">
        <v>14</v>
      </c>
      <c r="I433" s="31">
        <v>6</v>
      </c>
      <c r="J433" s="32">
        <f t="shared" ref="J433:K433" si="123">+J438</f>
        <v>0</v>
      </c>
      <c r="K433" s="33">
        <f t="shared" si="123"/>
        <v>0</v>
      </c>
      <c r="L433" s="37">
        <f>+I433+J433-K433</f>
        <v>6</v>
      </c>
    </row>
    <row r="434" spans="1:12" x14ac:dyDescent="0.2">
      <c r="A434" s="58" t="s">
        <v>15</v>
      </c>
      <c r="B434" s="58"/>
      <c r="C434" s="59" t="s">
        <v>3</v>
      </c>
      <c r="D434" s="59"/>
      <c r="E434" s="59"/>
      <c r="F434" s="59"/>
      <c r="G434" s="59"/>
      <c r="H434" s="59"/>
      <c r="I434" s="59"/>
      <c r="J434" s="35" t="s">
        <v>8</v>
      </c>
      <c r="K434" s="35" t="s">
        <v>9</v>
      </c>
      <c r="L434" s="35" t="s">
        <v>10</v>
      </c>
    </row>
    <row r="435" spans="1:12" x14ac:dyDescent="0.2">
      <c r="A435" s="52"/>
      <c r="B435" s="52"/>
      <c r="C435" s="54"/>
      <c r="D435" s="54"/>
      <c r="E435" s="54"/>
      <c r="F435" s="54"/>
      <c r="G435" s="54"/>
      <c r="H435" s="54"/>
      <c r="I435" s="54"/>
      <c r="J435" s="31"/>
      <c r="K435" s="31"/>
      <c r="L435" s="28"/>
    </row>
    <row r="436" spans="1:12" x14ac:dyDescent="0.2">
      <c r="A436" s="52"/>
      <c r="B436" s="52"/>
      <c r="C436" s="54"/>
      <c r="D436" s="54"/>
      <c r="E436" s="54"/>
      <c r="F436" s="54"/>
      <c r="G436" s="54"/>
      <c r="H436" s="54"/>
      <c r="I436" s="54"/>
      <c r="J436" s="31"/>
      <c r="K436" s="31"/>
      <c r="L436" s="28"/>
    </row>
    <row r="437" spans="1:12" x14ac:dyDescent="0.2">
      <c r="A437" s="52"/>
      <c r="B437" s="52"/>
      <c r="C437" s="54"/>
      <c r="D437" s="54"/>
      <c r="E437" s="54"/>
      <c r="F437" s="54"/>
      <c r="G437" s="54"/>
      <c r="H437" s="54"/>
      <c r="I437" s="54"/>
      <c r="J437" s="31"/>
      <c r="K437" s="31"/>
      <c r="L437" s="28"/>
    </row>
    <row r="438" spans="1:12" x14ac:dyDescent="0.2">
      <c r="A438" s="55" t="s">
        <v>16</v>
      </c>
      <c r="B438" s="56"/>
      <c r="C438" s="56"/>
      <c r="D438" s="56"/>
      <c r="E438" s="56"/>
      <c r="F438" s="56"/>
      <c r="G438" s="56"/>
      <c r="H438" s="56"/>
      <c r="I438" s="57"/>
      <c r="J438" s="36">
        <f t="shared" ref="J438:L438" si="124">SUM(J435:J437)</f>
        <v>0</v>
      </c>
      <c r="K438" s="36">
        <f t="shared" si="124"/>
        <v>0</v>
      </c>
      <c r="L438" s="36">
        <f t="shared" si="124"/>
        <v>0</v>
      </c>
    </row>
    <row r="439" spans="1:12" x14ac:dyDescent="0.2">
      <c r="A439" s="27">
        <v>69</v>
      </c>
      <c r="B439" s="28"/>
      <c r="C439" s="47" t="s">
        <v>178</v>
      </c>
      <c r="D439" s="46" t="s">
        <v>403</v>
      </c>
      <c r="E439" s="30" t="s">
        <v>388</v>
      </c>
      <c r="F439" s="31"/>
      <c r="G439" s="31"/>
      <c r="H439" s="31" t="s">
        <v>14</v>
      </c>
      <c r="I439" s="31">
        <v>167</v>
      </c>
      <c r="J439" s="32">
        <f t="shared" ref="J439:K439" si="125">+J444</f>
        <v>0</v>
      </c>
      <c r="K439" s="33">
        <f t="shared" si="125"/>
        <v>0</v>
      </c>
      <c r="L439" s="37">
        <f>+I439+J439-K439</f>
        <v>167</v>
      </c>
    </row>
    <row r="440" spans="1:12" x14ac:dyDescent="0.2">
      <c r="A440" s="58" t="s">
        <v>15</v>
      </c>
      <c r="B440" s="58"/>
      <c r="C440" s="59" t="s">
        <v>3</v>
      </c>
      <c r="D440" s="59"/>
      <c r="E440" s="59"/>
      <c r="F440" s="59"/>
      <c r="G440" s="59"/>
      <c r="H440" s="59"/>
      <c r="I440" s="59"/>
      <c r="J440" s="35" t="s">
        <v>8</v>
      </c>
      <c r="K440" s="35" t="s">
        <v>9</v>
      </c>
      <c r="L440" s="35" t="s">
        <v>10</v>
      </c>
    </row>
    <row r="441" spans="1:12" x14ac:dyDescent="0.2">
      <c r="A441" s="52"/>
      <c r="B441" s="52"/>
      <c r="C441" s="54"/>
      <c r="D441" s="54"/>
      <c r="E441" s="54"/>
      <c r="F441" s="54"/>
      <c r="G441" s="54"/>
      <c r="H441" s="54"/>
      <c r="I441" s="54"/>
      <c r="J441" s="31"/>
      <c r="K441" s="31"/>
      <c r="L441" s="28"/>
    </row>
    <row r="442" spans="1:12" x14ac:dyDescent="0.2">
      <c r="A442" s="52"/>
      <c r="B442" s="52"/>
      <c r="C442" s="54"/>
      <c r="D442" s="54"/>
      <c r="E442" s="54"/>
      <c r="F442" s="54"/>
      <c r="G442" s="54"/>
      <c r="H442" s="54"/>
      <c r="I442" s="54"/>
      <c r="J442" s="31"/>
      <c r="K442" s="31"/>
      <c r="L442" s="28"/>
    </row>
    <row r="443" spans="1:12" x14ac:dyDescent="0.2">
      <c r="A443" s="52"/>
      <c r="B443" s="52"/>
      <c r="C443" s="54"/>
      <c r="D443" s="54"/>
      <c r="E443" s="54"/>
      <c r="F443" s="54"/>
      <c r="G443" s="54"/>
      <c r="H443" s="54"/>
      <c r="I443" s="54"/>
      <c r="J443" s="31"/>
      <c r="K443" s="31"/>
      <c r="L443" s="28"/>
    </row>
    <row r="444" spans="1:12" x14ac:dyDescent="0.2">
      <c r="A444" s="55" t="s">
        <v>16</v>
      </c>
      <c r="B444" s="56"/>
      <c r="C444" s="56"/>
      <c r="D444" s="56"/>
      <c r="E444" s="56"/>
      <c r="F444" s="56"/>
      <c r="G444" s="56"/>
      <c r="H444" s="56"/>
      <c r="I444" s="57"/>
      <c r="J444" s="36">
        <f t="shared" ref="J444:L444" si="126">SUM(J441:J443)</f>
        <v>0</v>
      </c>
      <c r="K444" s="36">
        <f t="shared" si="126"/>
        <v>0</v>
      </c>
      <c r="L444" s="36">
        <f t="shared" si="126"/>
        <v>0</v>
      </c>
    </row>
    <row r="445" spans="1:12" x14ac:dyDescent="0.2">
      <c r="A445" s="27">
        <v>70</v>
      </c>
      <c r="B445" s="28"/>
      <c r="C445" s="47" t="s">
        <v>178</v>
      </c>
      <c r="D445" s="29" t="s">
        <v>316</v>
      </c>
      <c r="E445" s="30" t="s">
        <v>388</v>
      </c>
      <c r="F445" s="31"/>
      <c r="G445" s="31"/>
      <c r="H445" s="31" t="s">
        <v>14</v>
      </c>
      <c r="I445" s="31">
        <v>12</v>
      </c>
      <c r="J445" s="32">
        <f t="shared" ref="J445:K445" si="127">+J450</f>
        <v>400</v>
      </c>
      <c r="K445" s="33">
        <f t="shared" si="127"/>
        <v>0</v>
      </c>
      <c r="L445" s="38">
        <f>+I445+J445-K445</f>
        <v>412</v>
      </c>
    </row>
    <row r="446" spans="1:12" x14ac:dyDescent="0.2">
      <c r="A446" s="58" t="s">
        <v>15</v>
      </c>
      <c r="B446" s="58"/>
      <c r="C446" s="59" t="s">
        <v>3</v>
      </c>
      <c r="D446" s="59"/>
      <c r="E446" s="59"/>
      <c r="F446" s="59"/>
      <c r="G446" s="59"/>
      <c r="H446" s="59"/>
      <c r="I446" s="59"/>
      <c r="J446" s="35" t="s">
        <v>8</v>
      </c>
      <c r="K446" s="35" t="s">
        <v>9</v>
      </c>
      <c r="L446" s="35" t="s">
        <v>10</v>
      </c>
    </row>
    <row r="447" spans="1:12" x14ac:dyDescent="0.2">
      <c r="A447" s="52">
        <v>46052</v>
      </c>
      <c r="B447" s="52"/>
      <c r="C447" s="54" t="s">
        <v>277</v>
      </c>
      <c r="D447" s="54"/>
      <c r="E447" s="54"/>
      <c r="F447" s="54"/>
      <c r="G447" s="54"/>
      <c r="H447" s="54"/>
      <c r="I447" s="54"/>
      <c r="J447" s="31">
        <v>400</v>
      </c>
      <c r="K447" s="31"/>
      <c r="L447" s="28"/>
    </row>
    <row r="448" spans="1:12" x14ac:dyDescent="0.2">
      <c r="A448" s="52"/>
      <c r="B448" s="52"/>
      <c r="C448" s="54"/>
      <c r="D448" s="54"/>
      <c r="E448" s="54"/>
      <c r="F448" s="54"/>
      <c r="G448" s="54"/>
      <c r="H448" s="54"/>
      <c r="I448" s="54"/>
      <c r="J448" s="31"/>
      <c r="K448" s="31"/>
      <c r="L448" s="28"/>
    </row>
    <row r="449" spans="1:12" x14ac:dyDescent="0.2">
      <c r="A449" s="52"/>
      <c r="B449" s="52"/>
      <c r="C449" s="54"/>
      <c r="D449" s="54"/>
      <c r="E449" s="54"/>
      <c r="F449" s="54"/>
      <c r="G449" s="54"/>
      <c r="H449" s="54"/>
      <c r="I449" s="54"/>
      <c r="J449" s="31"/>
      <c r="K449" s="31"/>
      <c r="L449" s="28"/>
    </row>
    <row r="450" spans="1:12" x14ac:dyDescent="0.2">
      <c r="A450" s="55" t="s">
        <v>16</v>
      </c>
      <c r="B450" s="56"/>
      <c r="C450" s="56"/>
      <c r="D450" s="56"/>
      <c r="E450" s="56"/>
      <c r="F450" s="56"/>
      <c r="G450" s="56"/>
      <c r="H450" s="56"/>
      <c r="I450" s="57"/>
      <c r="J450" s="36">
        <f t="shared" ref="J450:L450" si="128">SUM(J447:J449)</f>
        <v>400</v>
      </c>
      <c r="K450" s="36">
        <f t="shared" si="128"/>
        <v>0</v>
      </c>
      <c r="L450" s="36">
        <f t="shared" si="128"/>
        <v>0</v>
      </c>
    </row>
    <row r="451" spans="1:12" x14ac:dyDescent="0.2">
      <c r="A451" s="27">
        <v>71</v>
      </c>
      <c r="B451" s="28"/>
      <c r="C451" s="47" t="s">
        <v>178</v>
      </c>
      <c r="D451" s="29" t="s">
        <v>330</v>
      </c>
      <c r="E451" s="30" t="s">
        <v>388</v>
      </c>
      <c r="F451" s="31"/>
      <c r="G451" s="31"/>
      <c r="H451" s="31" t="s">
        <v>14</v>
      </c>
      <c r="I451" s="31">
        <v>11</v>
      </c>
      <c r="J451" s="32">
        <f t="shared" ref="J451:K451" si="129">+J456</f>
        <v>0</v>
      </c>
      <c r="K451" s="33">
        <f t="shared" si="129"/>
        <v>11</v>
      </c>
      <c r="L451" s="37">
        <f>+I451+J451-K451</f>
        <v>0</v>
      </c>
    </row>
    <row r="452" spans="1:12" x14ac:dyDescent="0.2">
      <c r="A452" s="58" t="s">
        <v>15</v>
      </c>
      <c r="B452" s="58"/>
      <c r="C452" s="59" t="s">
        <v>3</v>
      </c>
      <c r="D452" s="59"/>
      <c r="E452" s="59"/>
      <c r="F452" s="59"/>
      <c r="G452" s="59"/>
      <c r="H452" s="59"/>
      <c r="I452" s="59"/>
      <c r="J452" s="35" t="s">
        <v>8</v>
      </c>
      <c r="K452" s="35" t="s">
        <v>9</v>
      </c>
      <c r="L452" s="35" t="s">
        <v>10</v>
      </c>
    </row>
    <row r="453" spans="1:12" x14ac:dyDescent="0.2">
      <c r="A453" s="52">
        <v>46107</v>
      </c>
      <c r="B453" s="52"/>
      <c r="C453" s="61" t="s">
        <v>363</v>
      </c>
      <c r="D453" s="54"/>
      <c r="E453" s="54"/>
      <c r="F453" s="54"/>
      <c r="G453" s="54"/>
      <c r="H453" s="54"/>
      <c r="I453" s="54"/>
      <c r="J453" s="31"/>
      <c r="K453" s="31">
        <v>11</v>
      </c>
      <c r="L453" s="28"/>
    </row>
    <row r="454" spans="1:12" x14ac:dyDescent="0.2">
      <c r="A454" s="52"/>
      <c r="B454" s="52"/>
      <c r="C454" s="54"/>
      <c r="D454" s="54"/>
      <c r="E454" s="54"/>
      <c r="F454" s="54"/>
      <c r="G454" s="54"/>
      <c r="H454" s="54"/>
      <c r="I454" s="54"/>
      <c r="J454" s="31"/>
      <c r="K454" s="31"/>
      <c r="L454" s="28"/>
    </row>
    <row r="455" spans="1:12" x14ac:dyDescent="0.2">
      <c r="A455" s="52"/>
      <c r="B455" s="52"/>
      <c r="C455" s="54"/>
      <c r="D455" s="54"/>
      <c r="E455" s="54"/>
      <c r="F455" s="54"/>
      <c r="G455" s="54"/>
      <c r="H455" s="54"/>
      <c r="I455" s="54"/>
      <c r="J455" s="31"/>
      <c r="K455" s="31"/>
      <c r="L455" s="28"/>
    </row>
    <row r="456" spans="1:12" x14ac:dyDescent="0.2">
      <c r="A456" s="55" t="s">
        <v>16</v>
      </c>
      <c r="B456" s="56"/>
      <c r="C456" s="56"/>
      <c r="D456" s="56"/>
      <c r="E456" s="56"/>
      <c r="F456" s="56"/>
      <c r="G456" s="56"/>
      <c r="H456" s="56"/>
      <c r="I456" s="57"/>
      <c r="J456" s="36">
        <f t="shared" ref="J456:L456" si="130">SUM(J453:J455)</f>
        <v>0</v>
      </c>
      <c r="K456" s="36">
        <f t="shared" si="130"/>
        <v>11</v>
      </c>
      <c r="L456" s="36">
        <f t="shared" si="130"/>
        <v>0</v>
      </c>
    </row>
    <row r="457" spans="1:12" x14ac:dyDescent="0.2">
      <c r="A457" s="27">
        <v>72</v>
      </c>
      <c r="B457" s="28"/>
      <c r="C457" s="47" t="s">
        <v>178</v>
      </c>
      <c r="D457" s="29" t="s">
        <v>329</v>
      </c>
      <c r="E457" s="30" t="s">
        <v>388</v>
      </c>
      <c r="F457" s="31"/>
      <c r="G457" s="31"/>
      <c r="H457" s="31" t="s">
        <v>14</v>
      </c>
      <c r="I457" s="31">
        <v>12</v>
      </c>
      <c r="J457" s="32">
        <f t="shared" ref="J457:K457" si="131">+J462</f>
        <v>0</v>
      </c>
      <c r="K457" s="33">
        <f t="shared" si="131"/>
        <v>12</v>
      </c>
      <c r="L457" s="38">
        <f>+I457+J457-K457</f>
        <v>0</v>
      </c>
    </row>
    <row r="458" spans="1:12" x14ac:dyDescent="0.2">
      <c r="A458" s="58" t="s">
        <v>15</v>
      </c>
      <c r="B458" s="58"/>
      <c r="C458" s="59" t="s">
        <v>3</v>
      </c>
      <c r="D458" s="59"/>
      <c r="E458" s="59"/>
      <c r="F458" s="59"/>
      <c r="G458" s="59"/>
      <c r="H458" s="59"/>
      <c r="I458" s="59"/>
      <c r="J458" s="35" t="s">
        <v>8</v>
      </c>
      <c r="K458" s="35" t="s">
        <v>9</v>
      </c>
      <c r="L458" s="35" t="s">
        <v>10</v>
      </c>
    </row>
    <row r="459" spans="1:12" x14ac:dyDescent="0.2">
      <c r="A459" s="52">
        <v>46107</v>
      </c>
      <c r="B459" s="52"/>
      <c r="C459" s="61" t="s">
        <v>363</v>
      </c>
      <c r="D459" s="54"/>
      <c r="E459" s="54"/>
      <c r="F459" s="54"/>
      <c r="G459" s="54"/>
      <c r="H459" s="54"/>
      <c r="I459" s="54"/>
      <c r="J459" s="31"/>
      <c r="K459" s="31">
        <v>12</v>
      </c>
      <c r="L459" s="28"/>
    </row>
    <row r="460" spans="1:12" x14ac:dyDescent="0.2">
      <c r="A460" s="52"/>
      <c r="B460" s="52"/>
      <c r="C460" s="54"/>
      <c r="D460" s="54"/>
      <c r="E460" s="54"/>
      <c r="F460" s="54"/>
      <c r="G460" s="54"/>
      <c r="H460" s="54"/>
      <c r="I460" s="54"/>
      <c r="J460" s="31"/>
      <c r="K460" s="31"/>
      <c r="L460" s="28"/>
    </row>
    <row r="461" spans="1:12" x14ac:dyDescent="0.2">
      <c r="A461" s="52"/>
      <c r="B461" s="52"/>
      <c r="C461" s="54"/>
      <c r="D461" s="54"/>
      <c r="E461" s="54"/>
      <c r="F461" s="54"/>
      <c r="G461" s="54"/>
      <c r="H461" s="54"/>
      <c r="I461" s="54"/>
      <c r="J461" s="31"/>
      <c r="K461" s="31"/>
      <c r="L461" s="28"/>
    </row>
    <row r="462" spans="1:12" x14ac:dyDescent="0.2">
      <c r="A462" s="55" t="s">
        <v>16</v>
      </c>
      <c r="B462" s="56"/>
      <c r="C462" s="56"/>
      <c r="D462" s="56"/>
      <c r="E462" s="56"/>
      <c r="F462" s="56"/>
      <c r="G462" s="56"/>
      <c r="H462" s="56"/>
      <c r="I462" s="57"/>
      <c r="J462" s="36">
        <f t="shared" ref="J462:L462" si="132">SUM(J459:J461)</f>
        <v>0</v>
      </c>
      <c r="K462" s="36">
        <f t="shared" si="132"/>
        <v>12</v>
      </c>
      <c r="L462" s="36">
        <f t="shared" si="132"/>
        <v>0</v>
      </c>
    </row>
    <row r="463" spans="1:12" x14ac:dyDescent="0.2">
      <c r="A463" s="27">
        <v>73</v>
      </c>
      <c r="B463" s="28"/>
      <c r="C463" s="47" t="s">
        <v>178</v>
      </c>
      <c r="D463" s="41" t="s">
        <v>343</v>
      </c>
      <c r="E463" s="30" t="s">
        <v>388</v>
      </c>
      <c r="F463" s="31"/>
      <c r="G463" s="31"/>
      <c r="H463" s="31" t="s">
        <v>14</v>
      </c>
      <c r="I463" s="31">
        <v>130</v>
      </c>
      <c r="J463" s="32">
        <f t="shared" ref="J463:K463" si="133">+J468</f>
        <v>0</v>
      </c>
      <c r="K463" s="33">
        <f t="shared" si="133"/>
        <v>130</v>
      </c>
      <c r="L463" s="37">
        <f>+I463+J463-K463</f>
        <v>0</v>
      </c>
    </row>
    <row r="464" spans="1:12" x14ac:dyDescent="0.2">
      <c r="A464" s="58" t="s">
        <v>15</v>
      </c>
      <c r="B464" s="58"/>
      <c r="C464" s="59" t="s">
        <v>3</v>
      </c>
      <c r="D464" s="59"/>
      <c r="E464" s="59"/>
      <c r="F464" s="59"/>
      <c r="G464" s="59"/>
      <c r="H464" s="59"/>
      <c r="I464" s="59"/>
      <c r="J464" s="35" t="s">
        <v>8</v>
      </c>
      <c r="K464" s="35" t="s">
        <v>9</v>
      </c>
      <c r="L464" s="35" t="s">
        <v>10</v>
      </c>
    </row>
    <row r="465" spans="1:12" x14ac:dyDescent="0.2">
      <c r="A465" s="52">
        <v>46107</v>
      </c>
      <c r="B465" s="52"/>
      <c r="C465" s="61" t="s">
        <v>363</v>
      </c>
      <c r="D465" s="54"/>
      <c r="E465" s="54"/>
      <c r="F465" s="54"/>
      <c r="G465" s="54"/>
      <c r="H465" s="54"/>
      <c r="I465" s="54"/>
      <c r="J465" s="31"/>
      <c r="K465" s="31">
        <v>130</v>
      </c>
      <c r="L465" s="28"/>
    </row>
    <row r="466" spans="1:12" x14ac:dyDescent="0.2">
      <c r="A466" s="52"/>
      <c r="B466" s="52"/>
      <c r="C466" s="54"/>
      <c r="D466" s="54"/>
      <c r="E466" s="54"/>
      <c r="F466" s="54"/>
      <c r="G466" s="54"/>
      <c r="H466" s="54"/>
      <c r="I466" s="54"/>
      <c r="J466" s="31"/>
      <c r="K466" s="31"/>
      <c r="L466" s="28"/>
    </row>
    <row r="467" spans="1:12" x14ac:dyDescent="0.2">
      <c r="A467" s="52"/>
      <c r="B467" s="52"/>
      <c r="C467" s="54"/>
      <c r="D467" s="54"/>
      <c r="E467" s="54"/>
      <c r="F467" s="54"/>
      <c r="G467" s="54"/>
      <c r="H467" s="54"/>
      <c r="I467" s="54"/>
      <c r="J467" s="31"/>
      <c r="K467" s="31"/>
      <c r="L467" s="28"/>
    </row>
    <row r="468" spans="1:12" x14ac:dyDescent="0.2">
      <c r="A468" s="55" t="s">
        <v>16</v>
      </c>
      <c r="B468" s="56"/>
      <c r="C468" s="56"/>
      <c r="D468" s="56"/>
      <c r="E468" s="56"/>
      <c r="F468" s="56"/>
      <c r="G468" s="56"/>
      <c r="H468" s="56"/>
      <c r="I468" s="57"/>
      <c r="J468" s="36">
        <f t="shared" ref="J468:L468" si="134">SUM(J465:J467)</f>
        <v>0</v>
      </c>
      <c r="K468" s="36">
        <f t="shared" si="134"/>
        <v>130</v>
      </c>
      <c r="L468" s="36">
        <f t="shared" si="134"/>
        <v>0</v>
      </c>
    </row>
    <row r="469" spans="1:12" x14ac:dyDescent="0.2">
      <c r="A469" s="27">
        <v>74</v>
      </c>
      <c r="B469" s="28"/>
      <c r="C469" s="47" t="s">
        <v>178</v>
      </c>
      <c r="D469" s="41" t="s">
        <v>345</v>
      </c>
      <c r="E469" s="30" t="s">
        <v>388</v>
      </c>
      <c r="F469" s="31"/>
      <c r="G469" s="31"/>
      <c r="H469" s="31" t="s">
        <v>114</v>
      </c>
      <c r="I469" s="31">
        <v>300</v>
      </c>
      <c r="J469" s="32">
        <f t="shared" ref="J469" si="135">+J474</f>
        <v>0</v>
      </c>
      <c r="K469" s="33">
        <f>+K474</f>
        <v>300</v>
      </c>
      <c r="L469" s="38">
        <f>+I469+J469-K469</f>
        <v>0</v>
      </c>
    </row>
    <row r="470" spans="1:12" x14ac:dyDescent="0.2">
      <c r="A470" s="58" t="s">
        <v>15</v>
      </c>
      <c r="B470" s="58"/>
      <c r="C470" s="59" t="s">
        <v>3</v>
      </c>
      <c r="D470" s="59"/>
      <c r="E470" s="59"/>
      <c r="F470" s="59"/>
      <c r="G470" s="59"/>
      <c r="H470" s="59"/>
      <c r="I470" s="59"/>
      <c r="J470" s="35" t="s">
        <v>8</v>
      </c>
      <c r="K470" s="35" t="s">
        <v>9</v>
      </c>
      <c r="L470" s="35" t="s">
        <v>10</v>
      </c>
    </row>
    <row r="471" spans="1:12" x14ac:dyDescent="0.2">
      <c r="A471" s="52">
        <v>46088</v>
      </c>
      <c r="B471" s="52"/>
      <c r="C471" s="54" t="s">
        <v>344</v>
      </c>
      <c r="D471" s="54"/>
      <c r="E471" s="54"/>
      <c r="F471" s="54"/>
      <c r="G471" s="54"/>
      <c r="H471" s="54"/>
      <c r="I471" s="54"/>
      <c r="J471" s="31"/>
      <c r="K471" s="31">
        <v>300</v>
      </c>
      <c r="L471" s="28"/>
    </row>
    <row r="472" spans="1:12" x14ac:dyDescent="0.2">
      <c r="A472" s="52"/>
      <c r="B472" s="52"/>
      <c r="C472" s="54"/>
      <c r="D472" s="54"/>
      <c r="E472" s="54"/>
      <c r="F472" s="54"/>
      <c r="G472" s="54"/>
      <c r="H472" s="54"/>
      <c r="I472" s="54"/>
      <c r="J472" s="31"/>
      <c r="K472" s="31"/>
      <c r="L472" s="28"/>
    </row>
    <row r="473" spans="1:12" x14ac:dyDescent="0.2">
      <c r="A473" s="52"/>
      <c r="B473" s="52"/>
      <c r="C473" s="54"/>
      <c r="D473" s="54"/>
      <c r="E473" s="54"/>
      <c r="F473" s="54"/>
      <c r="G473" s="54"/>
      <c r="H473" s="54"/>
      <c r="I473" s="54"/>
      <c r="J473" s="31"/>
      <c r="K473" s="31"/>
      <c r="L473" s="28"/>
    </row>
    <row r="474" spans="1:12" x14ac:dyDescent="0.2">
      <c r="A474" s="55" t="s">
        <v>16</v>
      </c>
      <c r="B474" s="56"/>
      <c r="C474" s="56"/>
      <c r="D474" s="56"/>
      <c r="E474" s="56"/>
      <c r="F474" s="56"/>
      <c r="G474" s="56"/>
      <c r="H474" s="56"/>
      <c r="I474" s="57"/>
      <c r="J474" s="36">
        <f>SUM(J471:J473)</f>
        <v>0</v>
      </c>
      <c r="K474" s="36">
        <f>SUM(K471:K473)</f>
        <v>300</v>
      </c>
      <c r="L474" s="36">
        <f>SUM(L471:L473)</f>
        <v>0</v>
      </c>
    </row>
    <row r="475" spans="1:12" x14ac:dyDescent="0.2">
      <c r="A475" s="27">
        <v>75</v>
      </c>
      <c r="B475" s="28"/>
      <c r="C475" s="47" t="s">
        <v>178</v>
      </c>
      <c r="D475" s="46" t="s">
        <v>346</v>
      </c>
      <c r="E475" s="30" t="s">
        <v>388</v>
      </c>
      <c r="F475" s="31"/>
      <c r="G475" s="31"/>
      <c r="H475" s="31" t="s">
        <v>114</v>
      </c>
      <c r="I475" s="31">
        <v>0</v>
      </c>
      <c r="J475" s="32">
        <f t="shared" ref="J475" si="136">+J480</f>
        <v>500</v>
      </c>
      <c r="K475" s="33">
        <f>+K480</f>
        <v>500</v>
      </c>
      <c r="L475" s="38">
        <f>+I475+J475-K475</f>
        <v>0</v>
      </c>
    </row>
    <row r="476" spans="1:12" x14ac:dyDescent="0.2">
      <c r="A476" s="58" t="s">
        <v>15</v>
      </c>
      <c r="B476" s="58"/>
      <c r="C476" s="59" t="s">
        <v>3</v>
      </c>
      <c r="D476" s="59"/>
      <c r="E476" s="59"/>
      <c r="F476" s="59"/>
      <c r="G476" s="59"/>
      <c r="H476" s="59"/>
      <c r="I476" s="59"/>
      <c r="J476" s="35" t="s">
        <v>8</v>
      </c>
      <c r="K476" s="35" t="s">
        <v>9</v>
      </c>
      <c r="L476" s="35" t="s">
        <v>10</v>
      </c>
    </row>
    <row r="477" spans="1:12" x14ac:dyDescent="0.2">
      <c r="A477" s="52">
        <v>46088</v>
      </c>
      <c r="B477" s="52"/>
      <c r="C477" s="54" t="s">
        <v>347</v>
      </c>
      <c r="D477" s="54"/>
      <c r="E477" s="54"/>
      <c r="F477" s="54"/>
      <c r="G477" s="54"/>
      <c r="H477" s="54"/>
      <c r="I477" s="54"/>
      <c r="J477" s="31">
        <v>500</v>
      </c>
      <c r="K477" s="31"/>
      <c r="L477" s="28"/>
    </row>
    <row r="478" spans="1:12" x14ac:dyDescent="0.2">
      <c r="A478" s="52">
        <v>46088</v>
      </c>
      <c r="B478" s="52"/>
      <c r="C478" s="54" t="s">
        <v>344</v>
      </c>
      <c r="D478" s="54"/>
      <c r="E478" s="54"/>
      <c r="F478" s="54"/>
      <c r="G478" s="54"/>
      <c r="H478" s="54"/>
      <c r="I478" s="54"/>
      <c r="J478" s="31"/>
      <c r="K478" s="31">
        <v>500</v>
      </c>
      <c r="L478" s="28"/>
    </row>
    <row r="479" spans="1:12" x14ac:dyDescent="0.2">
      <c r="A479" s="52"/>
      <c r="B479" s="52"/>
      <c r="C479" s="54"/>
      <c r="D479" s="54"/>
      <c r="E479" s="54"/>
      <c r="F479" s="54"/>
      <c r="G479" s="54"/>
      <c r="H479" s="54"/>
      <c r="I479" s="54"/>
      <c r="J479" s="31"/>
      <c r="K479" s="31"/>
      <c r="L479" s="28"/>
    </row>
    <row r="480" spans="1:12" x14ac:dyDescent="0.2">
      <c r="A480" s="55" t="s">
        <v>16</v>
      </c>
      <c r="B480" s="56"/>
      <c r="C480" s="56"/>
      <c r="D480" s="56"/>
      <c r="E480" s="56"/>
      <c r="F480" s="56"/>
      <c r="G480" s="56"/>
      <c r="H480" s="56"/>
      <c r="I480" s="57"/>
      <c r="J480" s="36">
        <f>SUM(J477:J479)</f>
        <v>500</v>
      </c>
      <c r="K480" s="36">
        <f>SUM(K477:K479)</f>
        <v>500</v>
      </c>
      <c r="L480" s="36">
        <f>SUM(L477:L479)</f>
        <v>0</v>
      </c>
    </row>
    <row r="481" spans="1:12" x14ac:dyDescent="0.2">
      <c r="A481" s="27">
        <v>76</v>
      </c>
      <c r="B481" s="28"/>
      <c r="C481" s="47" t="s">
        <v>178</v>
      </c>
      <c r="D481" s="46" t="s">
        <v>349</v>
      </c>
      <c r="E481" s="30" t="s">
        <v>388</v>
      </c>
      <c r="F481" s="31"/>
      <c r="G481" s="31"/>
      <c r="H481" s="31" t="s">
        <v>114</v>
      </c>
      <c r="I481" s="31">
        <v>0</v>
      </c>
      <c r="J481" s="32">
        <f t="shared" ref="J481" si="137">+J487</f>
        <v>1000</v>
      </c>
      <c r="K481" s="33">
        <f>+K487</f>
        <v>500</v>
      </c>
      <c r="L481" s="38">
        <f>+I481+J481-K481</f>
        <v>500</v>
      </c>
    </row>
    <row r="482" spans="1:12" x14ac:dyDescent="0.2">
      <c r="A482" s="58" t="s">
        <v>15</v>
      </c>
      <c r="B482" s="58"/>
      <c r="C482" s="59" t="s">
        <v>3</v>
      </c>
      <c r="D482" s="59"/>
      <c r="E482" s="59"/>
      <c r="F482" s="59"/>
      <c r="G482" s="59"/>
      <c r="H482" s="59"/>
      <c r="I482" s="59"/>
      <c r="J482" s="35" t="s">
        <v>8</v>
      </c>
      <c r="K482" s="35" t="s">
        <v>9</v>
      </c>
      <c r="L482" s="35" t="s">
        <v>10</v>
      </c>
    </row>
    <row r="483" spans="1:12" x14ac:dyDescent="0.2">
      <c r="A483" s="52">
        <v>46088</v>
      </c>
      <c r="B483" s="52"/>
      <c r="C483" s="61" t="s">
        <v>347</v>
      </c>
      <c r="D483" s="54"/>
      <c r="E483" s="54"/>
      <c r="F483" s="54"/>
      <c r="G483" s="54"/>
      <c r="H483" s="54"/>
      <c r="I483" s="54"/>
      <c r="J483" s="31">
        <v>500</v>
      </c>
      <c r="K483" s="31"/>
      <c r="L483" s="28"/>
    </row>
    <row r="484" spans="1:12" x14ac:dyDescent="0.2">
      <c r="A484" s="52">
        <v>46089</v>
      </c>
      <c r="B484" s="52"/>
      <c r="C484" s="54" t="s">
        <v>344</v>
      </c>
      <c r="D484" s="54"/>
      <c r="E484" s="54"/>
      <c r="F484" s="54"/>
      <c r="G484" s="54"/>
      <c r="H484" s="54"/>
      <c r="I484" s="54"/>
      <c r="J484" s="31"/>
      <c r="K484" s="31">
        <v>500</v>
      </c>
      <c r="L484" s="28"/>
    </row>
    <row r="485" spans="1:12" x14ac:dyDescent="0.2">
      <c r="A485" s="71">
        <v>46089</v>
      </c>
      <c r="B485" s="52"/>
      <c r="C485" s="61" t="s">
        <v>347</v>
      </c>
      <c r="D485" s="54"/>
      <c r="E485" s="54"/>
      <c r="F485" s="54"/>
      <c r="G485" s="54"/>
      <c r="H485" s="54"/>
      <c r="I485" s="54"/>
      <c r="J485" s="31">
        <v>500</v>
      </c>
      <c r="K485" s="31"/>
      <c r="L485" s="28"/>
    </row>
    <row r="486" spans="1:12" x14ac:dyDescent="0.2">
      <c r="A486" s="52"/>
      <c r="B486" s="52"/>
      <c r="C486" s="54"/>
      <c r="D486" s="54"/>
      <c r="E486" s="54"/>
      <c r="F486" s="54"/>
      <c r="G486" s="54"/>
      <c r="H486" s="54"/>
      <c r="I486" s="54"/>
      <c r="J486" s="31"/>
      <c r="K486" s="31"/>
      <c r="L486" s="28"/>
    </row>
    <row r="487" spans="1:12" x14ac:dyDescent="0.2">
      <c r="A487" s="55" t="s">
        <v>16</v>
      </c>
      <c r="B487" s="56"/>
      <c r="C487" s="56"/>
      <c r="D487" s="56"/>
      <c r="E487" s="56"/>
      <c r="F487" s="56"/>
      <c r="G487" s="56"/>
      <c r="H487" s="56"/>
      <c r="I487" s="57"/>
      <c r="J487" s="36">
        <f>SUM(J483:J486)</f>
        <v>1000</v>
      </c>
      <c r="K487" s="36">
        <f>SUM(K483:K486)</f>
        <v>500</v>
      </c>
      <c r="L487" s="36">
        <f>SUM(L483:L486)</f>
        <v>0</v>
      </c>
    </row>
    <row r="488" spans="1:12" x14ac:dyDescent="0.2">
      <c r="A488" s="27">
        <v>77</v>
      </c>
      <c r="B488" s="28"/>
      <c r="C488" s="47" t="s">
        <v>178</v>
      </c>
      <c r="D488" s="29" t="s">
        <v>317</v>
      </c>
      <c r="E488" s="30" t="s">
        <v>388</v>
      </c>
      <c r="F488" s="31"/>
      <c r="G488" s="31"/>
      <c r="H488" s="31" t="s">
        <v>14</v>
      </c>
      <c r="I488" s="31">
        <v>0</v>
      </c>
      <c r="J488" s="32">
        <f t="shared" ref="J488:K488" si="138">+J495</f>
        <v>1500</v>
      </c>
      <c r="K488" s="33">
        <f t="shared" si="138"/>
        <v>1000</v>
      </c>
      <c r="L488" s="34">
        <f>+I488+J488-K488</f>
        <v>500</v>
      </c>
    </row>
    <row r="489" spans="1:12" x14ac:dyDescent="0.2">
      <c r="A489" s="58" t="s">
        <v>15</v>
      </c>
      <c r="B489" s="58"/>
      <c r="C489" s="59" t="s">
        <v>3</v>
      </c>
      <c r="D489" s="59"/>
      <c r="E489" s="59"/>
      <c r="F489" s="59"/>
      <c r="G489" s="59"/>
      <c r="H489" s="59"/>
      <c r="I489" s="59"/>
      <c r="J489" s="35" t="s">
        <v>8</v>
      </c>
      <c r="K489" s="35" t="s">
        <v>9</v>
      </c>
      <c r="L489" s="35" t="s">
        <v>10</v>
      </c>
    </row>
    <row r="490" spans="1:12" x14ac:dyDescent="0.2">
      <c r="A490" s="52">
        <v>46052</v>
      </c>
      <c r="B490" s="52"/>
      <c r="C490" s="54" t="s">
        <v>277</v>
      </c>
      <c r="D490" s="54"/>
      <c r="E490" s="54"/>
      <c r="F490" s="54"/>
      <c r="G490" s="54"/>
      <c r="H490" s="54"/>
      <c r="I490" s="54"/>
      <c r="J490" s="31">
        <v>1500</v>
      </c>
      <c r="K490" s="31"/>
      <c r="L490" s="28"/>
    </row>
    <row r="491" spans="1:12" x14ac:dyDescent="0.2">
      <c r="A491" s="52">
        <v>46088</v>
      </c>
      <c r="B491" s="52"/>
      <c r="C491" s="54" t="s">
        <v>344</v>
      </c>
      <c r="D491" s="54"/>
      <c r="E491" s="54"/>
      <c r="F491" s="54"/>
      <c r="G491" s="54"/>
      <c r="H491" s="54"/>
      <c r="I491" s="54"/>
      <c r="J491" s="31"/>
      <c r="K491" s="31">
        <v>500</v>
      </c>
      <c r="L491" s="28"/>
    </row>
    <row r="492" spans="1:12" x14ac:dyDescent="0.2">
      <c r="A492" s="52">
        <v>46095</v>
      </c>
      <c r="B492" s="52"/>
      <c r="C492" s="54" t="s">
        <v>344</v>
      </c>
      <c r="D492" s="54"/>
      <c r="E492" s="54"/>
      <c r="F492" s="54"/>
      <c r="G492" s="54"/>
      <c r="H492" s="54"/>
      <c r="I492" s="54"/>
      <c r="J492" s="31"/>
      <c r="K492" s="31">
        <v>500</v>
      </c>
      <c r="L492" s="28"/>
    </row>
    <row r="493" spans="1:12" x14ac:dyDescent="0.2">
      <c r="A493" s="52">
        <v>46089</v>
      </c>
      <c r="B493" s="52"/>
      <c r="C493" s="54" t="s">
        <v>344</v>
      </c>
      <c r="D493" s="54"/>
      <c r="E493" s="54"/>
      <c r="F493" s="54"/>
      <c r="G493" s="54"/>
      <c r="H493" s="54"/>
      <c r="I493" s="54"/>
      <c r="J493" s="31"/>
      <c r="K493" s="31"/>
      <c r="L493" s="28"/>
    </row>
    <row r="494" spans="1:12" x14ac:dyDescent="0.2">
      <c r="A494" s="52"/>
      <c r="B494" s="52"/>
      <c r="C494" s="54"/>
      <c r="D494" s="54"/>
      <c r="E494" s="54"/>
      <c r="F494" s="54"/>
      <c r="G494" s="54"/>
      <c r="H494" s="54"/>
      <c r="I494" s="54"/>
      <c r="J494" s="31"/>
      <c r="K494" s="31"/>
      <c r="L494" s="28"/>
    </row>
    <row r="495" spans="1:12" x14ac:dyDescent="0.2">
      <c r="A495" s="55" t="s">
        <v>16</v>
      </c>
      <c r="B495" s="56"/>
      <c r="C495" s="56"/>
      <c r="D495" s="56"/>
      <c r="E495" s="56"/>
      <c r="F495" s="56"/>
      <c r="G495" s="56"/>
      <c r="H495" s="56"/>
      <c r="I495" s="57"/>
      <c r="J495" s="36">
        <f>SUM(J490:J494)</f>
        <v>1500</v>
      </c>
      <c r="K495" s="36">
        <f>SUM(K490:K494)</f>
        <v>1000</v>
      </c>
      <c r="L495" s="36">
        <f>SUM(L490:L494)</f>
        <v>0</v>
      </c>
    </row>
    <row r="496" spans="1:12" x14ac:dyDescent="0.2">
      <c r="A496" s="27">
        <v>78</v>
      </c>
      <c r="B496" s="28"/>
      <c r="C496" s="47" t="s">
        <v>178</v>
      </c>
      <c r="D496" s="46" t="s">
        <v>404</v>
      </c>
      <c r="E496" s="30" t="s">
        <v>388</v>
      </c>
      <c r="F496" s="31"/>
      <c r="G496" s="31"/>
      <c r="H496" s="31" t="s">
        <v>14</v>
      </c>
      <c r="I496" s="31">
        <v>0</v>
      </c>
      <c r="J496" s="32">
        <f t="shared" ref="J496:K496" si="139">+J501</f>
        <v>0</v>
      </c>
      <c r="K496" s="33">
        <f t="shared" si="139"/>
        <v>0</v>
      </c>
      <c r="L496" s="34">
        <f>+I496+J496-K496</f>
        <v>0</v>
      </c>
    </row>
    <row r="497" spans="1:12" x14ac:dyDescent="0.2">
      <c r="A497" s="58" t="s">
        <v>15</v>
      </c>
      <c r="B497" s="58"/>
      <c r="C497" s="59" t="s">
        <v>3</v>
      </c>
      <c r="D497" s="59"/>
      <c r="E497" s="59"/>
      <c r="F497" s="59"/>
      <c r="G497" s="59"/>
      <c r="H497" s="59"/>
      <c r="I497" s="59"/>
      <c r="J497" s="35" t="s">
        <v>8</v>
      </c>
      <c r="K497" s="35" t="s">
        <v>9</v>
      </c>
      <c r="L497" s="35" t="s">
        <v>10</v>
      </c>
    </row>
    <row r="498" spans="1:12" x14ac:dyDescent="0.2">
      <c r="A498" s="52"/>
      <c r="B498" s="52"/>
      <c r="C498" s="54"/>
      <c r="D498" s="54"/>
      <c r="E498" s="54"/>
      <c r="F498" s="54"/>
      <c r="G498" s="54"/>
      <c r="H498" s="54"/>
      <c r="I498" s="54"/>
      <c r="J498" s="31"/>
      <c r="K498" s="31"/>
      <c r="L498" s="28"/>
    </row>
    <row r="499" spans="1:12" x14ac:dyDescent="0.2">
      <c r="A499" s="52"/>
      <c r="B499" s="52"/>
      <c r="C499" s="54"/>
      <c r="D499" s="54"/>
      <c r="E499" s="54"/>
      <c r="F499" s="54"/>
      <c r="G499" s="54"/>
      <c r="H499" s="54"/>
      <c r="I499" s="54"/>
      <c r="J499" s="31"/>
      <c r="K499" s="31"/>
      <c r="L499" s="28"/>
    </row>
    <row r="500" spans="1:12" x14ac:dyDescent="0.2">
      <c r="A500" s="52"/>
      <c r="B500" s="52"/>
      <c r="C500" s="54"/>
      <c r="D500" s="54"/>
      <c r="E500" s="54"/>
      <c r="F500" s="54"/>
      <c r="G500" s="54"/>
      <c r="H500" s="54"/>
      <c r="I500" s="54"/>
      <c r="J500" s="31"/>
      <c r="K500" s="31"/>
      <c r="L500" s="28"/>
    </row>
    <row r="501" spans="1:12" x14ac:dyDescent="0.2">
      <c r="A501" s="55" t="s">
        <v>16</v>
      </c>
      <c r="B501" s="56"/>
      <c r="C501" s="56"/>
      <c r="D501" s="56"/>
      <c r="E501" s="56"/>
      <c r="F501" s="56"/>
      <c r="G501" s="56"/>
      <c r="H501" s="56"/>
      <c r="I501" s="57"/>
      <c r="J501" s="36">
        <f>SUM(J498:J500)</f>
        <v>0</v>
      </c>
      <c r="K501" s="36">
        <f>SUM(K498:K500)</f>
        <v>0</v>
      </c>
      <c r="L501" s="36">
        <f>SUM(L498:L500)</f>
        <v>0</v>
      </c>
    </row>
    <row r="502" spans="1:12" x14ac:dyDescent="0.2">
      <c r="A502" s="27">
        <v>79</v>
      </c>
      <c r="B502" s="28"/>
      <c r="C502" s="47" t="s">
        <v>405</v>
      </c>
      <c r="D502" s="29" t="s">
        <v>293</v>
      </c>
      <c r="E502" s="30" t="s">
        <v>388</v>
      </c>
      <c r="F502" s="31"/>
      <c r="G502" s="31"/>
      <c r="H502" s="31" t="s">
        <v>14</v>
      </c>
      <c r="I502" s="31">
        <v>0</v>
      </c>
      <c r="J502" s="32">
        <f t="shared" ref="J502:K502" si="140">+J507</f>
        <v>10</v>
      </c>
      <c r="K502" s="33">
        <f t="shared" si="140"/>
        <v>0</v>
      </c>
      <c r="L502" s="37">
        <f>+I502+J502-K502</f>
        <v>10</v>
      </c>
    </row>
    <row r="503" spans="1:12" x14ac:dyDescent="0.2">
      <c r="A503" s="58" t="s">
        <v>15</v>
      </c>
      <c r="B503" s="58"/>
      <c r="C503" s="59" t="s">
        <v>3</v>
      </c>
      <c r="D503" s="59"/>
      <c r="E503" s="59"/>
      <c r="F503" s="59"/>
      <c r="G503" s="59"/>
      <c r="H503" s="59"/>
      <c r="I503" s="59"/>
      <c r="J503" s="35" t="s">
        <v>8</v>
      </c>
      <c r="K503" s="35" t="s">
        <v>9</v>
      </c>
      <c r="L503" s="35" t="s">
        <v>10</v>
      </c>
    </row>
    <row r="504" spans="1:12" x14ac:dyDescent="0.2">
      <c r="A504" s="52">
        <v>46052</v>
      </c>
      <c r="B504" s="52"/>
      <c r="C504" s="54" t="s">
        <v>277</v>
      </c>
      <c r="D504" s="54"/>
      <c r="E504" s="54"/>
      <c r="F504" s="54"/>
      <c r="G504" s="54"/>
      <c r="H504" s="54"/>
      <c r="I504" s="54"/>
      <c r="J504" s="31">
        <v>10</v>
      </c>
      <c r="K504" s="31"/>
      <c r="L504" s="28"/>
    </row>
    <row r="505" spans="1:12" x14ac:dyDescent="0.2">
      <c r="A505" s="52"/>
      <c r="B505" s="52"/>
      <c r="C505" s="54"/>
      <c r="D505" s="54"/>
      <c r="E505" s="54"/>
      <c r="F505" s="54"/>
      <c r="G505" s="54"/>
      <c r="H505" s="54"/>
      <c r="I505" s="54"/>
      <c r="J505" s="31"/>
      <c r="K505" s="31"/>
      <c r="L505" s="28"/>
    </row>
    <row r="506" spans="1:12" x14ac:dyDescent="0.2">
      <c r="A506" s="52"/>
      <c r="B506" s="52"/>
      <c r="C506" s="54"/>
      <c r="D506" s="54"/>
      <c r="E506" s="54"/>
      <c r="F506" s="54"/>
      <c r="G506" s="54"/>
      <c r="H506" s="54"/>
      <c r="I506" s="54"/>
      <c r="J506" s="31"/>
      <c r="K506" s="31"/>
      <c r="L506" s="28"/>
    </row>
    <row r="507" spans="1:12" x14ac:dyDescent="0.2">
      <c r="A507" s="55" t="s">
        <v>16</v>
      </c>
      <c r="B507" s="56"/>
      <c r="C507" s="56"/>
      <c r="D507" s="56"/>
      <c r="E507" s="56"/>
      <c r="F507" s="56"/>
      <c r="G507" s="56"/>
      <c r="H507" s="56"/>
      <c r="I507" s="57"/>
      <c r="J507" s="36">
        <f t="shared" ref="J507:L507" si="141">SUM(J504:J506)</f>
        <v>10</v>
      </c>
      <c r="K507" s="36">
        <f t="shared" si="141"/>
        <v>0</v>
      </c>
      <c r="L507" s="36">
        <f t="shared" si="141"/>
        <v>0</v>
      </c>
    </row>
    <row r="508" spans="1:12" x14ac:dyDescent="0.2">
      <c r="A508" s="27">
        <v>80</v>
      </c>
      <c r="B508" s="28"/>
      <c r="C508" s="47" t="s">
        <v>405</v>
      </c>
      <c r="D508" s="29" t="s">
        <v>294</v>
      </c>
      <c r="E508" s="30" t="s">
        <v>388</v>
      </c>
      <c r="F508" s="31"/>
      <c r="G508" s="31"/>
      <c r="H508" s="31" t="s">
        <v>14</v>
      </c>
      <c r="I508" s="31">
        <v>0</v>
      </c>
      <c r="J508" s="32">
        <f t="shared" ref="J508:K508" si="142">+J515</f>
        <v>26</v>
      </c>
      <c r="K508" s="33">
        <f t="shared" si="142"/>
        <v>26</v>
      </c>
      <c r="L508" s="37">
        <f>+I508+J508-K508</f>
        <v>0</v>
      </c>
    </row>
    <row r="509" spans="1:12" x14ac:dyDescent="0.2">
      <c r="A509" s="58" t="s">
        <v>15</v>
      </c>
      <c r="B509" s="58"/>
      <c r="C509" s="59" t="s">
        <v>3</v>
      </c>
      <c r="D509" s="59"/>
      <c r="E509" s="59"/>
      <c r="F509" s="59"/>
      <c r="G509" s="59"/>
      <c r="H509" s="59"/>
      <c r="I509" s="59"/>
      <c r="J509" s="35" t="s">
        <v>8</v>
      </c>
      <c r="K509" s="35" t="s">
        <v>9</v>
      </c>
      <c r="L509" s="35" t="s">
        <v>10</v>
      </c>
    </row>
    <row r="510" spans="1:12" x14ac:dyDescent="0.2">
      <c r="A510" s="52">
        <v>46052</v>
      </c>
      <c r="B510" s="52"/>
      <c r="C510" s="54" t="s">
        <v>277</v>
      </c>
      <c r="D510" s="54"/>
      <c r="E510" s="54"/>
      <c r="F510" s="54"/>
      <c r="G510" s="54"/>
      <c r="H510" s="54"/>
      <c r="I510" s="54"/>
      <c r="J510" s="31">
        <v>20</v>
      </c>
      <c r="K510" s="31"/>
      <c r="L510" s="28"/>
    </row>
    <row r="511" spans="1:12" x14ac:dyDescent="0.2">
      <c r="A511" s="52">
        <v>46084</v>
      </c>
      <c r="B511" s="52"/>
      <c r="C511" s="54" t="s">
        <v>335</v>
      </c>
      <c r="D511" s="54"/>
      <c r="E511" s="54"/>
      <c r="F511" s="54"/>
      <c r="G511" s="54"/>
      <c r="H511" s="54"/>
      <c r="I511" s="54"/>
      <c r="J511" s="31"/>
      <c r="K511" s="31">
        <v>20</v>
      </c>
      <c r="L511" s="28"/>
    </row>
    <row r="512" spans="1:12" x14ac:dyDescent="0.2">
      <c r="A512" s="52">
        <v>46088</v>
      </c>
      <c r="B512" s="52"/>
      <c r="C512" s="61" t="s">
        <v>347</v>
      </c>
      <c r="D512" s="54"/>
      <c r="E512" s="54"/>
      <c r="F512" s="54"/>
      <c r="G512" s="54"/>
      <c r="H512" s="54"/>
      <c r="I512" s="54"/>
      <c r="J512" s="31">
        <v>6</v>
      </c>
      <c r="K512" s="31"/>
      <c r="L512" s="28"/>
    </row>
    <row r="513" spans="1:12" x14ac:dyDescent="0.2">
      <c r="A513" s="52">
        <v>46095</v>
      </c>
      <c r="B513" s="52"/>
      <c r="C513" s="54" t="s">
        <v>335</v>
      </c>
      <c r="D513" s="54"/>
      <c r="E513" s="54"/>
      <c r="F513" s="54"/>
      <c r="G513" s="54"/>
      <c r="H513" s="54"/>
      <c r="I513" s="54"/>
      <c r="J513" s="31"/>
      <c r="K513" s="31">
        <v>6</v>
      </c>
      <c r="L513" s="28"/>
    </row>
    <row r="514" spans="1:12" x14ac:dyDescent="0.2">
      <c r="A514" s="52"/>
      <c r="B514" s="52"/>
      <c r="C514" s="54"/>
      <c r="D514" s="54"/>
      <c r="E514" s="54"/>
      <c r="F514" s="54"/>
      <c r="G514" s="54"/>
      <c r="H514" s="54"/>
      <c r="I514" s="54"/>
      <c r="J514" s="31"/>
      <c r="K514" s="31"/>
      <c r="L514" s="28"/>
    </row>
    <row r="515" spans="1:12" x14ac:dyDescent="0.2">
      <c r="A515" s="55" t="s">
        <v>16</v>
      </c>
      <c r="B515" s="56"/>
      <c r="C515" s="56"/>
      <c r="D515" s="56"/>
      <c r="E515" s="56"/>
      <c r="F515" s="56"/>
      <c r="G515" s="56"/>
      <c r="H515" s="56"/>
      <c r="I515" s="57"/>
      <c r="J515" s="36">
        <f t="shared" ref="J515:L515" si="143">SUM(J510:J514)</f>
        <v>26</v>
      </c>
      <c r="K515" s="36">
        <f t="shared" si="143"/>
        <v>26</v>
      </c>
      <c r="L515" s="36">
        <f t="shared" si="143"/>
        <v>0</v>
      </c>
    </row>
    <row r="516" spans="1:12" x14ac:dyDescent="0.2">
      <c r="A516" s="27">
        <v>81</v>
      </c>
      <c r="B516" s="28"/>
      <c r="C516" s="47" t="s">
        <v>405</v>
      </c>
      <c r="D516" s="29" t="s">
        <v>306</v>
      </c>
      <c r="E516" s="30" t="s">
        <v>388</v>
      </c>
      <c r="F516" s="31"/>
      <c r="G516" s="31"/>
      <c r="H516" s="31" t="s">
        <v>14</v>
      </c>
      <c r="I516" s="31">
        <v>0</v>
      </c>
      <c r="J516" s="32">
        <f t="shared" ref="J516:K516" si="144">+J522</f>
        <v>20</v>
      </c>
      <c r="K516" s="33">
        <f t="shared" si="144"/>
        <v>9</v>
      </c>
      <c r="L516" s="37">
        <f>+I516+J516-K516</f>
        <v>11</v>
      </c>
    </row>
    <row r="517" spans="1:12" x14ac:dyDescent="0.2">
      <c r="A517" s="58" t="s">
        <v>15</v>
      </c>
      <c r="B517" s="58"/>
      <c r="C517" s="59" t="s">
        <v>3</v>
      </c>
      <c r="D517" s="59"/>
      <c r="E517" s="59"/>
      <c r="F517" s="59"/>
      <c r="G517" s="59"/>
      <c r="H517" s="59"/>
      <c r="I517" s="59"/>
      <c r="J517" s="35" t="s">
        <v>8</v>
      </c>
      <c r="K517" s="35" t="s">
        <v>9</v>
      </c>
      <c r="L517" s="35" t="s">
        <v>10</v>
      </c>
    </row>
    <row r="518" spans="1:12" x14ac:dyDescent="0.2">
      <c r="A518" s="52">
        <v>46052</v>
      </c>
      <c r="B518" s="52"/>
      <c r="C518" s="54" t="s">
        <v>277</v>
      </c>
      <c r="D518" s="54"/>
      <c r="E518" s="54"/>
      <c r="F518" s="54"/>
      <c r="G518" s="54"/>
      <c r="H518" s="54"/>
      <c r="I518" s="54"/>
      <c r="J518" s="31">
        <v>20</v>
      </c>
      <c r="K518" s="31"/>
      <c r="L518" s="28"/>
    </row>
    <row r="519" spans="1:12" x14ac:dyDescent="0.2">
      <c r="A519" s="52">
        <v>46093</v>
      </c>
      <c r="B519" s="52"/>
      <c r="C519" s="54" t="s">
        <v>338</v>
      </c>
      <c r="D519" s="54"/>
      <c r="E519" s="54"/>
      <c r="F519" s="54"/>
      <c r="G519" s="54"/>
      <c r="H519" s="54"/>
      <c r="I519" s="54"/>
      <c r="J519" s="31"/>
      <c r="K519" s="31">
        <v>2</v>
      </c>
      <c r="L519" s="28"/>
    </row>
    <row r="520" spans="1:12" x14ac:dyDescent="0.2">
      <c r="A520" s="52">
        <v>46106</v>
      </c>
      <c r="B520" s="52"/>
      <c r="C520" s="54" t="s">
        <v>338</v>
      </c>
      <c r="D520" s="54"/>
      <c r="E520" s="54"/>
      <c r="F520" s="54"/>
      <c r="G520" s="54"/>
      <c r="H520" s="54"/>
      <c r="I520" s="54"/>
      <c r="J520" s="31"/>
      <c r="K520" s="31">
        <v>7</v>
      </c>
      <c r="L520" s="28"/>
    </row>
    <row r="521" spans="1:12" x14ac:dyDescent="0.2">
      <c r="A521" s="52"/>
      <c r="B521" s="52"/>
      <c r="C521" s="54"/>
      <c r="D521" s="54"/>
      <c r="E521" s="54"/>
      <c r="F521" s="54"/>
      <c r="G521" s="54"/>
      <c r="H521" s="54"/>
      <c r="I521" s="54"/>
      <c r="J521" s="31"/>
      <c r="K521" s="31"/>
      <c r="L521" s="28"/>
    </row>
    <row r="522" spans="1:12" x14ac:dyDescent="0.2">
      <c r="A522" s="55" t="s">
        <v>16</v>
      </c>
      <c r="B522" s="56"/>
      <c r="C522" s="56"/>
      <c r="D522" s="56"/>
      <c r="E522" s="56"/>
      <c r="F522" s="56"/>
      <c r="G522" s="56"/>
      <c r="H522" s="56"/>
      <c r="I522" s="57"/>
      <c r="J522" s="36">
        <f t="shared" ref="J522:L522" si="145">SUM(J518:J521)</f>
        <v>20</v>
      </c>
      <c r="K522" s="36">
        <f t="shared" si="145"/>
        <v>9</v>
      </c>
      <c r="L522" s="36">
        <f t="shared" si="145"/>
        <v>0</v>
      </c>
    </row>
    <row r="523" spans="1:12" x14ac:dyDescent="0.2">
      <c r="A523" s="27">
        <v>82</v>
      </c>
      <c r="B523" s="28"/>
      <c r="C523" s="50" t="s">
        <v>350</v>
      </c>
      <c r="D523" s="42" t="s">
        <v>283</v>
      </c>
      <c r="E523" s="30" t="s">
        <v>388</v>
      </c>
      <c r="F523" s="31"/>
      <c r="G523" s="31"/>
      <c r="H523" s="31" t="s">
        <v>14</v>
      </c>
      <c r="I523" s="31">
        <v>0</v>
      </c>
      <c r="J523" s="32">
        <f t="shared" ref="J523:K523" si="146">+J528</f>
        <v>10</v>
      </c>
      <c r="K523" s="33">
        <f t="shared" si="146"/>
        <v>0</v>
      </c>
      <c r="L523" s="34">
        <f>+I523+J523-K523</f>
        <v>10</v>
      </c>
    </row>
    <row r="524" spans="1:12" x14ac:dyDescent="0.2">
      <c r="A524" s="58" t="s">
        <v>15</v>
      </c>
      <c r="B524" s="58"/>
      <c r="C524" s="59" t="s">
        <v>3</v>
      </c>
      <c r="D524" s="59"/>
      <c r="E524" s="59"/>
      <c r="F524" s="59"/>
      <c r="G524" s="59"/>
      <c r="H524" s="59"/>
      <c r="I524" s="59"/>
      <c r="J524" s="35" t="s">
        <v>8</v>
      </c>
      <c r="K524" s="35" t="s">
        <v>9</v>
      </c>
      <c r="L524" s="35" t="s">
        <v>10</v>
      </c>
    </row>
    <row r="525" spans="1:12" x14ac:dyDescent="0.2">
      <c r="A525" s="52">
        <v>46052</v>
      </c>
      <c r="B525" s="52"/>
      <c r="C525" s="54" t="s">
        <v>277</v>
      </c>
      <c r="D525" s="54"/>
      <c r="E525" s="54"/>
      <c r="F525" s="54"/>
      <c r="G525" s="54"/>
      <c r="H525" s="54"/>
      <c r="I525" s="54"/>
      <c r="J525" s="31">
        <v>10</v>
      </c>
      <c r="K525" s="31"/>
      <c r="L525" s="28"/>
    </row>
    <row r="526" spans="1:12" x14ac:dyDescent="0.2">
      <c r="A526" s="52"/>
      <c r="B526" s="52"/>
      <c r="C526" s="54"/>
      <c r="D526" s="54"/>
      <c r="E526" s="54"/>
      <c r="F526" s="54"/>
      <c r="G526" s="54"/>
      <c r="H526" s="54"/>
      <c r="I526" s="54"/>
      <c r="J526" s="31"/>
      <c r="K526" s="31"/>
      <c r="L526" s="28"/>
    </row>
    <row r="527" spans="1:12" x14ac:dyDescent="0.2">
      <c r="A527" s="52"/>
      <c r="B527" s="52"/>
      <c r="C527" s="54"/>
      <c r="D527" s="54"/>
      <c r="E527" s="54"/>
      <c r="F527" s="54"/>
      <c r="G527" s="54"/>
      <c r="H527" s="54"/>
      <c r="I527" s="54"/>
      <c r="J527" s="31"/>
      <c r="K527" s="31"/>
      <c r="L527" s="28"/>
    </row>
    <row r="528" spans="1:12" x14ac:dyDescent="0.2">
      <c r="A528" s="55" t="s">
        <v>16</v>
      </c>
      <c r="B528" s="56"/>
      <c r="C528" s="56"/>
      <c r="D528" s="56"/>
      <c r="E528" s="56"/>
      <c r="F528" s="56"/>
      <c r="G528" s="56"/>
      <c r="H528" s="56"/>
      <c r="I528" s="57"/>
      <c r="J528" s="36">
        <f t="shared" ref="J528:L528" si="147">SUM(J525:J527)</f>
        <v>10</v>
      </c>
      <c r="K528" s="36">
        <f t="shared" si="147"/>
        <v>0</v>
      </c>
      <c r="L528" s="36">
        <f t="shared" si="147"/>
        <v>0</v>
      </c>
    </row>
    <row r="529" spans="1:12" x14ac:dyDescent="0.2">
      <c r="A529" s="27">
        <v>83</v>
      </c>
      <c r="B529" s="28"/>
      <c r="C529" s="50" t="s">
        <v>350</v>
      </c>
      <c r="D529" s="29" t="s">
        <v>284</v>
      </c>
      <c r="E529" s="30" t="s">
        <v>388</v>
      </c>
      <c r="F529" s="31" t="s">
        <v>13</v>
      </c>
      <c r="G529" s="31"/>
      <c r="H529" s="31" t="s">
        <v>14</v>
      </c>
      <c r="I529" s="31">
        <v>0</v>
      </c>
      <c r="J529" s="32">
        <f t="shared" ref="J529:K529" si="148">+J534</f>
        <v>7</v>
      </c>
      <c r="K529" s="33">
        <f t="shared" si="148"/>
        <v>6</v>
      </c>
      <c r="L529" s="37">
        <f>+I529+J529-K529</f>
        <v>1</v>
      </c>
    </row>
    <row r="530" spans="1:12" x14ac:dyDescent="0.2">
      <c r="A530" s="58" t="s">
        <v>15</v>
      </c>
      <c r="B530" s="58"/>
      <c r="C530" s="59" t="s">
        <v>3</v>
      </c>
      <c r="D530" s="59"/>
      <c r="E530" s="59"/>
      <c r="F530" s="59"/>
      <c r="G530" s="59"/>
      <c r="H530" s="59"/>
      <c r="I530" s="59"/>
      <c r="J530" s="35" t="s">
        <v>8</v>
      </c>
      <c r="K530" s="35" t="s">
        <v>9</v>
      </c>
      <c r="L530" s="35" t="s">
        <v>10</v>
      </c>
    </row>
    <row r="531" spans="1:12" x14ac:dyDescent="0.2">
      <c r="A531" s="52">
        <v>46052</v>
      </c>
      <c r="B531" s="52"/>
      <c r="C531" s="54" t="s">
        <v>277</v>
      </c>
      <c r="D531" s="54"/>
      <c r="E531" s="54"/>
      <c r="F531" s="54"/>
      <c r="G531" s="54"/>
      <c r="H531" s="54"/>
      <c r="I531" s="54"/>
      <c r="J531" s="31">
        <v>7</v>
      </c>
      <c r="K531" s="31"/>
      <c r="L531" s="28"/>
    </row>
    <row r="532" spans="1:12" x14ac:dyDescent="0.2">
      <c r="A532" s="52">
        <v>46107</v>
      </c>
      <c r="B532" s="52"/>
      <c r="C532" s="53" t="s">
        <v>406</v>
      </c>
      <c r="D532" s="54"/>
      <c r="E532" s="54"/>
      <c r="F532" s="54"/>
      <c r="G532" s="54"/>
      <c r="H532" s="54"/>
      <c r="I532" s="54"/>
      <c r="J532" s="31"/>
      <c r="K532" s="31">
        <v>6</v>
      </c>
      <c r="L532" s="28"/>
    </row>
    <row r="533" spans="1:12" x14ac:dyDescent="0.2">
      <c r="A533" s="52"/>
      <c r="B533" s="52"/>
      <c r="C533" s="54"/>
      <c r="D533" s="54"/>
      <c r="E533" s="54"/>
      <c r="F533" s="54"/>
      <c r="G533" s="54"/>
      <c r="H533" s="54"/>
      <c r="I533" s="54"/>
      <c r="J533" s="31"/>
      <c r="K533" s="31"/>
      <c r="L533" s="28"/>
    </row>
    <row r="534" spans="1:12" x14ac:dyDescent="0.2">
      <c r="A534" s="55" t="s">
        <v>16</v>
      </c>
      <c r="B534" s="56"/>
      <c r="C534" s="56"/>
      <c r="D534" s="56"/>
      <c r="E534" s="56"/>
      <c r="F534" s="56"/>
      <c r="G534" s="56"/>
      <c r="H534" s="56"/>
      <c r="I534" s="57"/>
      <c r="J534" s="36">
        <f t="shared" ref="J534:L534" si="149">SUM(J531:J533)</f>
        <v>7</v>
      </c>
      <c r="K534" s="36">
        <f t="shared" si="149"/>
        <v>6</v>
      </c>
      <c r="L534" s="36">
        <f t="shared" si="149"/>
        <v>0</v>
      </c>
    </row>
    <row r="535" spans="1:12" x14ac:dyDescent="0.2">
      <c r="A535" s="27">
        <v>84</v>
      </c>
      <c r="B535" s="28"/>
      <c r="C535" s="50" t="s">
        <v>350</v>
      </c>
      <c r="D535" s="29" t="s">
        <v>285</v>
      </c>
      <c r="E535" s="30" t="s">
        <v>388</v>
      </c>
      <c r="F535" s="31" t="s">
        <v>13</v>
      </c>
      <c r="G535" s="31"/>
      <c r="H535" s="31" t="s">
        <v>14</v>
      </c>
      <c r="I535" s="31">
        <v>0</v>
      </c>
      <c r="J535" s="32">
        <f t="shared" ref="J535:K535" si="150">+J540</f>
        <v>7</v>
      </c>
      <c r="K535" s="33">
        <f t="shared" si="150"/>
        <v>5</v>
      </c>
      <c r="L535" s="34">
        <f>+I535+J535-K535</f>
        <v>2</v>
      </c>
    </row>
    <row r="536" spans="1:12" x14ac:dyDescent="0.2">
      <c r="A536" s="58" t="s">
        <v>15</v>
      </c>
      <c r="B536" s="58"/>
      <c r="C536" s="59" t="s">
        <v>3</v>
      </c>
      <c r="D536" s="59"/>
      <c r="E536" s="59"/>
      <c r="F536" s="59"/>
      <c r="G536" s="59"/>
      <c r="H536" s="59"/>
      <c r="I536" s="59"/>
      <c r="J536" s="35" t="s">
        <v>8</v>
      </c>
      <c r="K536" s="35" t="s">
        <v>9</v>
      </c>
      <c r="L536" s="35" t="s">
        <v>10</v>
      </c>
    </row>
    <row r="537" spans="1:12" x14ac:dyDescent="0.2">
      <c r="A537" s="52">
        <v>46052</v>
      </c>
      <c r="B537" s="52"/>
      <c r="C537" s="54" t="s">
        <v>277</v>
      </c>
      <c r="D537" s="54"/>
      <c r="E537" s="54"/>
      <c r="F537" s="54"/>
      <c r="G537" s="54"/>
      <c r="H537" s="54"/>
      <c r="I537" s="54"/>
      <c r="J537" s="31">
        <v>7</v>
      </c>
      <c r="K537" s="31"/>
      <c r="L537" s="28"/>
    </row>
    <row r="538" spans="1:12" x14ac:dyDescent="0.2">
      <c r="A538" s="52">
        <v>46107</v>
      </c>
      <c r="B538" s="52"/>
      <c r="C538" s="53" t="s">
        <v>406</v>
      </c>
      <c r="D538" s="54"/>
      <c r="E538" s="54"/>
      <c r="F538" s="54"/>
      <c r="G538" s="54"/>
      <c r="H538" s="54"/>
      <c r="I538" s="54"/>
      <c r="J538" s="31"/>
      <c r="K538" s="31">
        <v>5</v>
      </c>
      <c r="L538" s="28"/>
    </row>
    <row r="539" spans="1:12" x14ac:dyDescent="0.2">
      <c r="A539" s="52"/>
      <c r="B539" s="52"/>
      <c r="C539" s="54"/>
      <c r="D539" s="54"/>
      <c r="E539" s="54"/>
      <c r="F539" s="54"/>
      <c r="G539" s="54"/>
      <c r="H539" s="54"/>
      <c r="I539" s="54"/>
      <c r="J539" s="31"/>
      <c r="K539" s="31"/>
      <c r="L539" s="28"/>
    </row>
    <row r="540" spans="1:12" x14ac:dyDescent="0.2">
      <c r="A540" s="55" t="s">
        <v>16</v>
      </c>
      <c r="B540" s="56"/>
      <c r="C540" s="56"/>
      <c r="D540" s="56"/>
      <c r="E540" s="56"/>
      <c r="F540" s="56"/>
      <c r="G540" s="56"/>
      <c r="H540" s="56"/>
      <c r="I540" s="57"/>
      <c r="J540" s="36">
        <f t="shared" ref="J540:L540" si="151">SUM(J537:J539)</f>
        <v>7</v>
      </c>
      <c r="K540" s="36">
        <f t="shared" si="151"/>
        <v>5</v>
      </c>
      <c r="L540" s="36">
        <f t="shared" si="151"/>
        <v>0</v>
      </c>
    </row>
    <row r="541" spans="1:12" x14ac:dyDescent="0.2">
      <c r="A541" s="27">
        <v>85</v>
      </c>
      <c r="B541" s="28"/>
      <c r="C541" s="50" t="s">
        <v>350</v>
      </c>
      <c r="D541" s="29" t="s">
        <v>285</v>
      </c>
      <c r="E541" s="30" t="s">
        <v>388</v>
      </c>
      <c r="F541" s="49" t="s">
        <v>34</v>
      </c>
      <c r="G541" s="31"/>
      <c r="H541" s="31" t="s">
        <v>14</v>
      </c>
      <c r="I541" s="31">
        <v>0</v>
      </c>
      <c r="J541" s="32">
        <f t="shared" ref="J541:K541" si="152">+J546</f>
        <v>5</v>
      </c>
      <c r="K541" s="33">
        <f t="shared" si="152"/>
        <v>0</v>
      </c>
      <c r="L541" s="34">
        <f>+I541+J541-K541</f>
        <v>5</v>
      </c>
    </row>
    <row r="542" spans="1:12" x14ac:dyDescent="0.2">
      <c r="A542" s="58" t="s">
        <v>15</v>
      </c>
      <c r="B542" s="58"/>
      <c r="C542" s="59" t="s">
        <v>3</v>
      </c>
      <c r="D542" s="59"/>
      <c r="E542" s="59"/>
      <c r="F542" s="59"/>
      <c r="G542" s="59"/>
      <c r="H542" s="59"/>
      <c r="I542" s="59"/>
      <c r="J542" s="35" t="s">
        <v>8</v>
      </c>
      <c r="K542" s="35" t="s">
        <v>9</v>
      </c>
      <c r="L542" s="35" t="s">
        <v>10</v>
      </c>
    </row>
    <row r="543" spans="1:12" x14ac:dyDescent="0.2">
      <c r="A543" s="52">
        <v>46107</v>
      </c>
      <c r="B543" s="52"/>
      <c r="C543" s="53" t="s">
        <v>363</v>
      </c>
      <c r="D543" s="54"/>
      <c r="E543" s="54"/>
      <c r="F543" s="54"/>
      <c r="G543" s="54"/>
      <c r="H543" s="54"/>
      <c r="I543" s="54"/>
      <c r="J543" s="31">
        <v>5</v>
      </c>
      <c r="K543" s="31"/>
      <c r="L543" s="28"/>
    </row>
    <row r="544" spans="1:12" x14ac:dyDescent="0.2">
      <c r="A544" s="52"/>
      <c r="B544" s="52"/>
      <c r="C544" s="53"/>
      <c r="D544" s="54"/>
      <c r="E544" s="54"/>
      <c r="F544" s="54"/>
      <c r="G544" s="54"/>
      <c r="H544" s="54"/>
      <c r="I544" s="54"/>
      <c r="J544" s="31"/>
      <c r="K544" s="31"/>
      <c r="L544" s="28"/>
    </row>
    <row r="545" spans="1:12" x14ac:dyDescent="0.2">
      <c r="A545" s="52"/>
      <c r="B545" s="52"/>
      <c r="C545" s="54"/>
      <c r="D545" s="54"/>
      <c r="E545" s="54"/>
      <c r="F545" s="54"/>
      <c r="G545" s="54"/>
      <c r="H545" s="54"/>
      <c r="I545" s="54"/>
      <c r="J545" s="31"/>
      <c r="K545" s="31"/>
      <c r="L545" s="28"/>
    </row>
    <row r="546" spans="1:12" x14ac:dyDescent="0.2">
      <c r="A546" s="55" t="s">
        <v>16</v>
      </c>
      <c r="B546" s="56"/>
      <c r="C546" s="56"/>
      <c r="D546" s="56"/>
      <c r="E546" s="56"/>
      <c r="F546" s="56"/>
      <c r="G546" s="56"/>
      <c r="H546" s="56"/>
      <c r="I546" s="57"/>
      <c r="J546" s="36">
        <f t="shared" ref="J546:L546" si="153">SUM(J543:J545)</f>
        <v>5</v>
      </c>
      <c r="K546" s="36">
        <f t="shared" si="153"/>
        <v>0</v>
      </c>
      <c r="L546" s="36">
        <f t="shared" si="153"/>
        <v>0</v>
      </c>
    </row>
    <row r="547" spans="1:12" x14ac:dyDescent="0.2">
      <c r="A547" s="27">
        <v>86</v>
      </c>
      <c r="B547" s="28"/>
      <c r="C547" s="50" t="s">
        <v>350</v>
      </c>
      <c r="D547" s="29" t="s">
        <v>310</v>
      </c>
      <c r="E547" s="30" t="s">
        <v>388</v>
      </c>
      <c r="F547" s="31"/>
      <c r="G547" s="31"/>
      <c r="H547" s="31" t="s">
        <v>14</v>
      </c>
      <c r="I547" s="31">
        <v>0</v>
      </c>
      <c r="J547" s="32">
        <f t="shared" ref="J547:K547" si="154">+J552</f>
        <v>0</v>
      </c>
      <c r="K547" s="33">
        <f t="shared" si="154"/>
        <v>0</v>
      </c>
      <c r="L547" s="38">
        <f>+I547+J547-K547</f>
        <v>0</v>
      </c>
    </row>
    <row r="548" spans="1:12" x14ac:dyDescent="0.2">
      <c r="A548" s="58" t="s">
        <v>15</v>
      </c>
      <c r="B548" s="58"/>
      <c r="C548" s="59" t="s">
        <v>3</v>
      </c>
      <c r="D548" s="59"/>
      <c r="E548" s="59"/>
      <c r="F548" s="59"/>
      <c r="G548" s="59"/>
      <c r="H548" s="59"/>
      <c r="I548" s="59"/>
      <c r="J548" s="35" t="s">
        <v>8</v>
      </c>
      <c r="K548" s="35" t="s">
        <v>9</v>
      </c>
      <c r="L548" s="35" t="s">
        <v>10</v>
      </c>
    </row>
    <row r="549" spans="1:12" x14ac:dyDescent="0.2">
      <c r="A549" s="52"/>
      <c r="B549" s="52"/>
      <c r="C549" s="54"/>
      <c r="D549" s="54"/>
      <c r="E549" s="54"/>
      <c r="F549" s="54"/>
      <c r="G549" s="54"/>
      <c r="H549" s="54"/>
      <c r="I549" s="54"/>
      <c r="J549" s="31"/>
      <c r="K549" s="31"/>
      <c r="L549" s="28"/>
    </row>
    <row r="550" spans="1:12" x14ac:dyDescent="0.2">
      <c r="A550" s="52"/>
      <c r="B550" s="52"/>
      <c r="C550" s="54"/>
      <c r="D550" s="54"/>
      <c r="E550" s="54"/>
      <c r="F550" s="54"/>
      <c r="G550" s="54"/>
      <c r="H550" s="54"/>
      <c r="I550" s="54"/>
      <c r="J550" s="31"/>
      <c r="K550" s="31"/>
      <c r="L550" s="28"/>
    </row>
    <row r="551" spans="1:12" x14ac:dyDescent="0.2">
      <c r="A551" s="52"/>
      <c r="B551" s="52"/>
      <c r="C551" s="54"/>
      <c r="D551" s="54"/>
      <c r="E551" s="54"/>
      <c r="F551" s="54"/>
      <c r="G551" s="54"/>
      <c r="H551" s="54"/>
      <c r="I551" s="54"/>
      <c r="J551" s="31"/>
      <c r="K551" s="31"/>
      <c r="L551" s="28"/>
    </row>
    <row r="552" spans="1:12" x14ac:dyDescent="0.2">
      <c r="A552" s="55" t="s">
        <v>16</v>
      </c>
      <c r="B552" s="56"/>
      <c r="C552" s="56"/>
      <c r="D552" s="56"/>
      <c r="E552" s="56"/>
      <c r="F552" s="56"/>
      <c r="G552" s="56"/>
      <c r="H552" s="56"/>
      <c r="I552" s="57"/>
      <c r="J552" s="36">
        <f t="shared" ref="J552:L552" si="155">SUM(J549:J551)</f>
        <v>0</v>
      </c>
      <c r="K552" s="36">
        <f t="shared" si="155"/>
        <v>0</v>
      </c>
      <c r="L552" s="36">
        <f t="shared" si="155"/>
        <v>0</v>
      </c>
    </row>
    <row r="553" spans="1:12" x14ac:dyDescent="0.2">
      <c r="A553" s="27">
        <v>87</v>
      </c>
      <c r="B553" s="28"/>
      <c r="C553" s="50" t="s">
        <v>350</v>
      </c>
      <c r="D553" s="29" t="s">
        <v>286</v>
      </c>
      <c r="E553" s="30" t="s">
        <v>388</v>
      </c>
      <c r="F553" s="31" t="s">
        <v>13</v>
      </c>
      <c r="G553" s="31"/>
      <c r="H553" s="31" t="s">
        <v>14</v>
      </c>
      <c r="I553" s="31">
        <v>3</v>
      </c>
      <c r="J553" s="32">
        <f t="shared" ref="J553:K553" si="156">+J558</f>
        <v>15</v>
      </c>
      <c r="K553" s="33">
        <f t="shared" si="156"/>
        <v>4</v>
      </c>
      <c r="L553" s="37">
        <f>+I553+J553-K553</f>
        <v>14</v>
      </c>
    </row>
    <row r="554" spans="1:12" x14ac:dyDescent="0.2">
      <c r="A554" s="58" t="s">
        <v>15</v>
      </c>
      <c r="B554" s="58"/>
      <c r="C554" s="59" t="s">
        <v>3</v>
      </c>
      <c r="D554" s="59"/>
      <c r="E554" s="59"/>
      <c r="F554" s="59"/>
      <c r="G554" s="59"/>
      <c r="H554" s="59"/>
      <c r="I554" s="59"/>
      <c r="J554" s="35" t="s">
        <v>8</v>
      </c>
      <c r="K554" s="35" t="s">
        <v>9</v>
      </c>
      <c r="L554" s="35" t="s">
        <v>10</v>
      </c>
    </row>
    <row r="555" spans="1:12" x14ac:dyDescent="0.2">
      <c r="A555" s="52">
        <v>46052</v>
      </c>
      <c r="B555" s="52"/>
      <c r="C555" s="54" t="s">
        <v>277</v>
      </c>
      <c r="D555" s="54"/>
      <c r="E555" s="54"/>
      <c r="F555" s="54"/>
      <c r="G555" s="54"/>
      <c r="H555" s="54"/>
      <c r="I555" s="54"/>
      <c r="J555" s="31">
        <v>15</v>
      </c>
      <c r="K555" s="31"/>
      <c r="L555" s="28"/>
    </row>
    <row r="556" spans="1:12" x14ac:dyDescent="0.2">
      <c r="A556" s="52">
        <v>46120</v>
      </c>
      <c r="B556" s="52"/>
      <c r="C556" s="70" t="s">
        <v>488</v>
      </c>
      <c r="D556" s="54"/>
      <c r="E556" s="54"/>
      <c r="F556" s="54"/>
      <c r="G556" s="54"/>
      <c r="H556" s="54"/>
      <c r="I556" s="54"/>
      <c r="J556" s="31"/>
      <c r="K556" s="31">
        <v>4</v>
      </c>
      <c r="L556" s="28"/>
    </row>
    <row r="557" spans="1:12" x14ac:dyDescent="0.2">
      <c r="A557" s="52"/>
      <c r="B557" s="52"/>
      <c r="C557" s="54"/>
      <c r="D557" s="54"/>
      <c r="E557" s="54"/>
      <c r="F557" s="54"/>
      <c r="G557" s="54"/>
      <c r="H557" s="54"/>
      <c r="I557" s="54"/>
      <c r="J557" s="31"/>
      <c r="K557" s="31"/>
      <c r="L557" s="28"/>
    </row>
    <row r="558" spans="1:12" x14ac:dyDescent="0.2">
      <c r="A558" s="55" t="s">
        <v>16</v>
      </c>
      <c r="B558" s="56"/>
      <c r="C558" s="56"/>
      <c r="D558" s="56"/>
      <c r="E558" s="56"/>
      <c r="F558" s="56"/>
      <c r="G558" s="56"/>
      <c r="H558" s="56"/>
      <c r="I558" s="57"/>
      <c r="J558" s="36">
        <f t="shared" ref="J558:L558" si="157">SUM(J555:J557)</f>
        <v>15</v>
      </c>
      <c r="K558" s="36">
        <f t="shared" si="157"/>
        <v>4</v>
      </c>
      <c r="L558" s="36">
        <f t="shared" si="157"/>
        <v>0</v>
      </c>
    </row>
    <row r="559" spans="1:12" x14ac:dyDescent="0.2">
      <c r="A559" s="27">
        <v>88</v>
      </c>
      <c r="B559" s="28"/>
      <c r="C559" s="50" t="s">
        <v>350</v>
      </c>
      <c r="D559" s="29" t="s">
        <v>286</v>
      </c>
      <c r="E559" s="30" t="s">
        <v>388</v>
      </c>
      <c r="F559" s="49" t="s">
        <v>407</v>
      </c>
      <c r="G559" s="31"/>
      <c r="H559" s="31" t="s">
        <v>14</v>
      </c>
      <c r="I559" s="31"/>
      <c r="J559" s="32">
        <f t="shared" ref="J559:K559" si="158">+J564</f>
        <v>5</v>
      </c>
      <c r="K559" s="33">
        <f t="shared" si="158"/>
        <v>0</v>
      </c>
      <c r="L559" s="37">
        <f>+I559+J559-K559</f>
        <v>5</v>
      </c>
    </row>
    <row r="560" spans="1:12" x14ac:dyDescent="0.2">
      <c r="A560" s="58" t="s">
        <v>15</v>
      </c>
      <c r="B560" s="58"/>
      <c r="C560" s="59" t="s">
        <v>3</v>
      </c>
      <c r="D560" s="59"/>
      <c r="E560" s="59"/>
      <c r="F560" s="59"/>
      <c r="G560" s="59"/>
      <c r="H560" s="59"/>
      <c r="I560" s="59"/>
      <c r="J560" s="35" t="s">
        <v>8</v>
      </c>
      <c r="K560" s="35" t="s">
        <v>9</v>
      </c>
      <c r="L560" s="35" t="s">
        <v>10</v>
      </c>
    </row>
    <row r="561" spans="1:12" x14ac:dyDescent="0.2">
      <c r="A561" s="52">
        <v>46107</v>
      </c>
      <c r="B561" s="52"/>
      <c r="C561" s="53" t="s">
        <v>363</v>
      </c>
      <c r="D561" s="54"/>
      <c r="E561" s="54"/>
      <c r="F561" s="54"/>
      <c r="G561" s="54"/>
      <c r="H561" s="54"/>
      <c r="I561" s="54"/>
      <c r="J561" s="31">
        <v>5</v>
      </c>
      <c r="K561" s="31"/>
      <c r="L561" s="28"/>
    </row>
    <row r="562" spans="1:12" x14ac:dyDescent="0.2">
      <c r="A562" s="52"/>
      <c r="B562" s="52"/>
      <c r="C562" s="54"/>
      <c r="D562" s="54"/>
      <c r="E562" s="54"/>
      <c r="F562" s="54"/>
      <c r="G562" s="54"/>
      <c r="H562" s="54"/>
      <c r="I562" s="54"/>
      <c r="J562" s="31"/>
      <c r="K562" s="31"/>
      <c r="L562" s="28"/>
    </row>
    <row r="563" spans="1:12" x14ac:dyDescent="0.2">
      <c r="A563" s="52"/>
      <c r="B563" s="52"/>
      <c r="C563" s="54"/>
      <c r="D563" s="54"/>
      <c r="E563" s="54"/>
      <c r="F563" s="54"/>
      <c r="G563" s="54"/>
      <c r="H563" s="54"/>
      <c r="I563" s="54"/>
      <c r="J563" s="31"/>
      <c r="K563" s="31"/>
      <c r="L563" s="28"/>
    </row>
    <row r="564" spans="1:12" x14ac:dyDescent="0.2">
      <c r="A564" s="55" t="s">
        <v>16</v>
      </c>
      <c r="B564" s="56"/>
      <c r="C564" s="56"/>
      <c r="D564" s="56"/>
      <c r="E564" s="56"/>
      <c r="F564" s="56"/>
      <c r="G564" s="56"/>
      <c r="H564" s="56"/>
      <c r="I564" s="57"/>
      <c r="J564" s="36">
        <f t="shared" ref="J564:L564" si="159">SUM(J561:J563)</f>
        <v>5</v>
      </c>
      <c r="K564" s="36">
        <f t="shared" si="159"/>
        <v>0</v>
      </c>
      <c r="L564" s="36">
        <f t="shared" si="159"/>
        <v>0</v>
      </c>
    </row>
    <row r="565" spans="1:12" x14ac:dyDescent="0.2">
      <c r="A565" s="27">
        <v>89</v>
      </c>
      <c r="B565" s="28"/>
      <c r="C565" s="50" t="s">
        <v>350</v>
      </c>
      <c r="D565" s="29" t="s">
        <v>325</v>
      </c>
      <c r="E565" s="30" t="s">
        <v>388</v>
      </c>
      <c r="F565" s="31"/>
      <c r="G565" s="31"/>
      <c r="H565" s="31" t="s">
        <v>14</v>
      </c>
      <c r="I565" s="31">
        <v>3</v>
      </c>
      <c r="J565" s="32">
        <f t="shared" ref="J565:K565" si="160">+J570</f>
        <v>3</v>
      </c>
      <c r="K565" s="33">
        <f t="shared" si="160"/>
        <v>0</v>
      </c>
      <c r="L565" s="38">
        <f>+I565+J565-K565</f>
        <v>6</v>
      </c>
    </row>
    <row r="566" spans="1:12" x14ac:dyDescent="0.2">
      <c r="A566" s="58" t="s">
        <v>15</v>
      </c>
      <c r="B566" s="58"/>
      <c r="C566" s="59" t="s">
        <v>3</v>
      </c>
      <c r="D566" s="59"/>
      <c r="E566" s="59"/>
      <c r="F566" s="59"/>
      <c r="G566" s="59"/>
      <c r="H566" s="59"/>
      <c r="I566" s="59"/>
      <c r="J566" s="35" t="s">
        <v>8</v>
      </c>
      <c r="K566" s="35" t="s">
        <v>9</v>
      </c>
      <c r="L566" s="35" t="s">
        <v>10</v>
      </c>
    </row>
    <row r="567" spans="1:12" x14ac:dyDescent="0.2">
      <c r="A567" s="52">
        <v>46107</v>
      </c>
      <c r="B567" s="52"/>
      <c r="C567" s="53" t="s">
        <v>363</v>
      </c>
      <c r="D567" s="54"/>
      <c r="E567" s="54"/>
      <c r="F567" s="54"/>
      <c r="G567" s="54"/>
      <c r="H567" s="54"/>
      <c r="I567" s="54"/>
      <c r="J567" s="31">
        <v>3</v>
      </c>
      <c r="K567" s="31"/>
      <c r="L567" s="28"/>
    </row>
    <row r="568" spans="1:12" x14ac:dyDescent="0.2">
      <c r="A568" s="52"/>
      <c r="B568" s="52"/>
      <c r="C568" s="54"/>
      <c r="D568" s="54"/>
      <c r="E568" s="54"/>
      <c r="F568" s="54"/>
      <c r="G568" s="54"/>
      <c r="H568" s="54"/>
      <c r="I568" s="54"/>
      <c r="J568" s="31"/>
      <c r="K568" s="31"/>
      <c r="L568" s="28"/>
    </row>
    <row r="569" spans="1:12" x14ac:dyDescent="0.2">
      <c r="A569" s="52"/>
      <c r="B569" s="52"/>
      <c r="C569" s="54"/>
      <c r="D569" s="54"/>
      <c r="E569" s="54"/>
      <c r="F569" s="54"/>
      <c r="G569" s="54"/>
      <c r="H569" s="54"/>
      <c r="I569" s="54"/>
      <c r="J569" s="31"/>
      <c r="K569" s="31"/>
      <c r="L569" s="28"/>
    </row>
    <row r="570" spans="1:12" x14ac:dyDescent="0.2">
      <c r="A570" s="55" t="s">
        <v>16</v>
      </c>
      <c r="B570" s="56"/>
      <c r="C570" s="56"/>
      <c r="D570" s="56"/>
      <c r="E570" s="56"/>
      <c r="F570" s="56"/>
      <c r="G570" s="56"/>
      <c r="H570" s="56"/>
      <c r="I570" s="57"/>
      <c r="J570" s="36">
        <f t="shared" ref="J570:L570" si="161">SUM(J567:J569)</f>
        <v>3</v>
      </c>
      <c r="K570" s="36">
        <f t="shared" si="161"/>
        <v>0</v>
      </c>
      <c r="L570" s="36">
        <f t="shared" si="161"/>
        <v>0</v>
      </c>
    </row>
    <row r="571" spans="1:12" x14ac:dyDescent="0.2">
      <c r="A571" s="27">
        <v>90</v>
      </c>
      <c r="B571" s="28"/>
      <c r="C571" s="50" t="s">
        <v>350</v>
      </c>
      <c r="D571" s="29" t="s">
        <v>287</v>
      </c>
      <c r="E571" s="30" t="s">
        <v>388</v>
      </c>
      <c r="F571" s="31"/>
      <c r="G571" s="31"/>
      <c r="H571" s="31" t="s">
        <v>14</v>
      </c>
      <c r="I571" s="31">
        <v>4</v>
      </c>
      <c r="J571" s="32">
        <f t="shared" ref="J571:K571" si="162">+J580</f>
        <v>16</v>
      </c>
      <c r="K571" s="33">
        <f t="shared" si="162"/>
        <v>20</v>
      </c>
      <c r="L571" s="34">
        <f>+I571+J571-K571</f>
        <v>0</v>
      </c>
    </row>
    <row r="572" spans="1:12" x14ac:dyDescent="0.2">
      <c r="A572" s="58" t="s">
        <v>15</v>
      </c>
      <c r="B572" s="58"/>
      <c r="C572" s="59" t="s">
        <v>3</v>
      </c>
      <c r="D572" s="59"/>
      <c r="E572" s="59"/>
      <c r="F572" s="59"/>
      <c r="G572" s="59"/>
      <c r="H572" s="59"/>
      <c r="I572" s="59"/>
      <c r="J572" s="35" t="s">
        <v>8</v>
      </c>
      <c r="K572" s="35" t="s">
        <v>9</v>
      </c>
      <c r="L572" s="35" t="s">
        <v>10</v>
      </c>
    </row>
    <row r="573" spans="1:12" x14ac:dyDescent="0.2">
      <c r="A573" s="52">
        <v>46052</v>
      </c>
      <c r="B573" s="52"/>
      <c r="C573" s="54" t="s">
        <v>277</v>
      </c>
      <c r="D573" s="54"/>
      <c r="E573" s="54"/>
      <c r="F573" s="54"/>
      <c r="G573" s="54"/>
      <c r="H573" s="54"/>
      <c r="I573" s="54"/>
      <c r="J573" s="31">
        <v>12</v>
      </c>
      <c r="K573" s="31"/>
      <c r="L573" s="28"/>
    </row>
    <row r="574" spans="1:12" x14ac:dyDescent="0.2">
      <c r="A574" s="52">
        <v>46084</v>
      </c>
      <c r="B574" s="52"/>
      <c r="C574" s="54" t="s">
        <v>336</v>
      </c>
      <c r="D574" s="54"/>
      <c r="E574" s="54"/>
      <c r="F574" s="54"/>
      <c r="G574" s="54"/>
      <c r="H574" s="54"/>
      <c r="I574" s="54"/>
      <c r="J574" s="31"/>
      <c r="K574" s="31">
        <v>4</v>
      </c>
      <c r="L574" s="28"/>
    </row>
    <row r="575" spans="1:12" x14ac:dyDescent="0.2">
      <c r="A575" s="52">
        <v>46088</v>
      </c>
      <c r="B575" s="52"/>
      <c r="C575" s="54" t="s">
        <v>336</v>
      </c>
      <c r="D575" s="54"/>
      <c r="E575" s="54"/>
      <c r="F575" s="54"/>
      <c r="G575" s="54"/>
      <c r="H575" s="54"/>
      <c r="I575" s="54"/>
      <c r="J575" s="31"/>
      <c r="K575" s="31">
        <v>6</v>
      </c>
      <c r="L575" s="28"/>
    </row>
    <row r="576" spans="1:12" x14ac:dyDescent="0.2">
      <c r="A576" s="52">
        <v>46088</v>
      </c>
      <c r="B576" s="52"/>
      <c r="C576" s="54" t="s">
        <v>336</v>
      </c>
      <c r="D576" s="54"/>
      <c r="E576" s="54"/>
      <c r="F576" s="54"/>
      <c r="G576" s="54"/>
      <c r="H576" s="54"/>
      <c r="I576" s="54"/>
      <c r="J576" s="31">
        <v>4</v>
      </c>
      <c r="K576" s="31"/>
      <c r="L576" s="28"/>
    </row>
    <row r="577" spans="1:12" x14ac:dyDescent="0.2">
      <c r="A577" s="52">
        <v>46095</v>
      </c>
      <c r="B577" s="52"/>
      <c r="C577" s="54" t="s">
        <v>336</v>
      </c>
      <c r="D577" s="54"/>
      <c r="E577" s="54"/>
      <c r="F577" s="54"/>
      <c r="G577" s="54"/>
      <c r="H577" s="54"/>
      <c r="I577" s="54"/>
      <c r="J577" s="31"/>
      <c r="K577" s="31">
        <v>6</v>
      </c>
      <c r="L577" s="28"/>
    </row>
    <row r="578" spans="1:12" x14ac:dyDescent="0.2">
      <c r="A578" s="52">
        <v>46104</v>
      </c>
      <c r="B578" s="52"/>
      <c r="C578" s="54" t="s">
        <v>336</v>
      </c>
      <c r="D578" s="54"/>
      <c r="E578" s="54"/>
      <c r="F578" s="54"/>
      <c r="G578" s="54"/>
      <c r="H578" s="54"/>
      <c r="I578" s="54"/>
      <c r="J578" s="31"/>
      <c r="K578" s="31">
        <v>4</v>
      </c>
      <c r="L578" s="28"/>
    </row>
    <row r="579" spans="1:12" x14ac:dyDescent="0.2">
      <c r="A579" s="52"/>
      <c r="B579" s="52"/>
      <c r="C579" s="54"/>
      <c r="D579" s="54"/>
      <c r="E579" s="54"/>
      <c r="F579" s="54"/>
      <c r="G579" s="54"/>
      <c r="H579" s="54"/>
      <c r="I579" s="54"/>
      <c r="J579" s="31"/>
      <c r="K579" s="31"/>
      <c r="L579" s="28"/>
    </row>
    <row r="580" spans="1:12" x14ac:dyDescent="0.2">
      <c r="A580" s="55" t="s">
        <v>16</v>
      </c>
      <c r="B580" s="56"/>
      <c r="C580" s="56"/>
      <c r="D580" s="56"/>
      <c r="E580" s="56"/>
      <c r="F580" s="56"/>
      <c r="G580" s="56"/>
      <c r="H580" s="56"/>
      <c r="I580" s="57"/>
      <c r="J580" s="36">
        <f>SUM(J573:J579)</f>
        <v>16</v>
      </c>
      <c r="K580" s="36">
        <f>SUM(K573:K579)</f>
        <v>20</v>
      </c>
      <c r="L580" s="36">
        <f>SUM(L573:L579)</f>
        <v>0</v>
      </c>
    </row>
    <row r="581" spans="1:12" x14ac:dyDescent="0.2">
      <c r="A581" s="27">
        <v>91</v>
      </c>
      <c r="B581" s="28"/>
      <c r="C581" s="50" t="s">
        <v>350</v>
      </c>
      <c r="D581" s="29" t="s">
        <v>308</v>
      </c>
      <c r="E581" s="30" t="s">
        <v>388</v>
      </c>
      <c r="F581" s="31"/>
      <c r="G581" s="31"/>
      <c r="H581" s="31" t="s">
        <v>14</v>
      </c>
      <c r="I581" s="31">
        <v>0</v>
      </c>
      <c r="J581" s="32">
        <f t="shared" ref="J581:K581" si="163">+J591</f>
        <v>45</v>
      </c>
      <c r="K581" s="33">
        <f t="shared" si="163"/>
        <v>17</v>
      </c>
      <c r="L581" s="34">
        <f>+I581+J581-K581</f>
        <v>28</v>
      </c>
    </row>
    <row r="582" spans="1:12" x14ac:dyDescent="0.2">
      <c r="A582" s="58" t="s">
        <v>15</v>
      </c>
      <c r="B582" s="58"/>
      <c r="C582" s="59" t="s">
        <v>3</v>
      </c>
      <c r="D582" s="59"/>
      <c r="E582" s="59"/>
      <c r="F582" s="59"/>
      <c r="G582" s="59"/>
      <c r="H582" s="59"/>
      <c r="I582" s="59"/>
      <c r="J582" s="35" t="s">
        <v>8</v>
      </c>
      <c r="K582" s="35" t="s">
        <v>9</v>
      </c>
      <c r="L582" s="35" t="s">
        <v>10</v>
      </c>
    </row>
    <row r="583" spans="1:12" x14ac:dyDescent="0.2">
      <c r="A583" s="52">
        <v>46052</v>
      </c>
      <c r="B583" s="52"/>
      <c r="C583" s="54" t="s">
        <v>277</v>
      </c>
      <c r="D583" s="54"/>
      <c r="E583" s="54"/>
      <c r="F583" s="54"/>
      <c r="G583" s="54"/>
      <c r="H583" s="54"/>
      <c r="I583" s="54"/>
      <c r="J583" s="31">
        <v>45</v>
      </c>
      <c r="K583" s="31"/>
      <c r="L583" s="28"/>
    </row>
    <row r="584" spans="1:12" x14ac:dyDescent="0.2">
      <c r="A584" s="52">
        <v>46093</v>
      </c>
      <c r="B584" s="52"/>
      <c r="C584" s="54" t="s">
        <v>338</v>
      </c>
      <c r="D584" s="54"/>
      <c r="E584" s="54"/>
      <c r="F584" s="54"/>
      <c r="G584" s="54"/>
      <c r="H584" s="54"/>
      <c r="I584" s="54"/>
      <c r="J584" s="31"/>
      <c r="K584" s="31">
        <v>3</v>
      </c>
      <c r="L584" s="28"/>
    </row>
    <row r="585" spans="1:12" x14ac:dyDescent="0.2">
      <c r="A585" s="52">
        <v>46101</v>
      </c>
      <c r="B585" s="52"/>
      <c r="C585" s="54" t="s">
        <v>338</v>
      </c>
      <c r="D585" s="54"/>
      <c r="E585" s="54"/>
      <c r="F585" s="54"/>
      <c r="G585" s="54"/>
      <c r="H585" s="54"/>
      <c r="I585" s="54"/>
      <c r="J585" s="31"/>
      <c r="K585" s="31">
        <v>2</v>
      </c>
      <c r="L585" s="28"/>
    </row>
    <row r="586" spans="1:12" x14ac:dyDescent="0.2">
      <c r="A586" s="52">
        <v>46104</v>
      </c>
      <c r="B586" s="52"/>
      <c r="C586" s="54" t="s">
        <v>338</v>
      </c>
      <c r="D586" s="54"/>
      <c r="E586" s="54"/>
      <c r="F586" s="54"/>
      <c r="G586" s="54"/>
      <c r="H586" s="54"/>
      <c r="I586" s="54"/>
      <c r="J586" s="31"/>
      <c r="K586" s="31">
        <v>4</v>
      </c>
      <c r="L586" s="28"/>
    </row>
    <row r="587" spans="1:12" x14ac:dyDescent="0.2">
      <c r="A587" s="52">
        <v>46105</v>
      </c>
      <c r="B587" s="52"/>
      <c r="C587" s="54" t="s">
        <v>338</v>
      </c>
      <c r="D587" s="54"/>
      <c r="E587" s="54"/>
      <c r="F587" s="54"/>
      <c r="G587" s="54"/>
      <c r="H587" s="54"/>
      <c r="I587" s="54"/>
      <c r="J587" s="31"/>
      <c r="K587" s="31">
        <v>4</v>
      </c>
      <c r="L587" s="28"/>
    </row>
    <row r="588" spans="1:12" x14ac:dyDescent="0.2">
      <c r="A588" s="52">
        <v>46120</v>
      </c>
      <c r="B588" s="52"/>
      <c r="C588" s="54" t="s">
        <v>338</v>
      </c>
      <c r="D588" s="54"/>
      <c r="E588" s="54"/>
      <c r="F588" s="54"/>
      <c r="G588" s="54"/>
      <c r="H588" s="54"/>
      <c r="I588" s="54"/>
      <c r="J588" s="31"/>
      <c r="K588" s="31">
        <v>2</v>
      </c>
      <c r="L588" s="28"/>
    </row>
    <row r="589" spans="1:12" x14ac:dyDescent="0.2">
      <c r="A589" s="52">
        <v>46121</v>
      </c>
      <c r="B589" s="52"/>
      <c r="C589" s="54" t="s">
        <v>338</v>
      </c>
      <c r="D589" s="54"/>
      <c r="E589" s="54"/>
      <c r="F589" s="54"/>
      <c r="G589" s="54"/>
      <c r="H589" s="54"/>
      <c r="I589" s="54"/>
      <c r="J589" s="31"/>
      <c r="K589" s="31">
        <v>2</v>
      </c>
      <c r="L589" s="28"/>
    </row>
    <row r="590" spans="1:12" x14ac:dyDescent="0.2">
      <c r="A590" s="52"/>
      <c r="B590" s="52"/>
      <c r="C590" s="54"/>
      <c r="D590" s="54"/>
      <c r="E590" s="54"/>
      <c r="F590" s="54"/>
      <c r="G590" s="54"/>
      <c r="H590" s="54"/>
      <c r="I590" s="54"/>
      <c r="J590" s="31"/>
      <c r="K590" s="31"/>
      <c r="L590" s="28"/>
    </row>
    <row r="591" spans="1:12" x14ac:dyDescent="0.2">
      <c r="A591" s="55" t="s">
        <v>16</v>
      </c>
      <c r="B591" s="56"/>
      <c r="C591" s="56"/>
      <c r="D591" s="56"/>
      <c r="E591" s="56"/>
      <c r="F591" s="56"/>
      <c r="G591" s="56"/>
      <c r="H591" s="56"/>
      <c r="I591" s="57"/>
      <c r="J591" s="36">
        <f>SUM(J583:J590)</f>
        <v>45</v>
      </c>
      <c r="K591" s="36">
        <f>SUM(K583:K590)</f>
        <v>17</v>
      </c>
      <c r="L591" s="36">
        <f>SUM(L583:L590)</f>
        <v>0</v>
      </c>
    </row>
    <row r="592" spans="1:12" x14ac:dyDescent="0.2">
      <c r="A592" s="27">
        <v>92</v>
      </c>
      <c r="B592" s="28"/>
      <c r="C592" s="43" t="s">
        <v>350</v>
      </c>
      <c r="D592" s="29" t="s">
        <v>292</v>
      </c>
      <c r="E592" s="30" t="s">
        <v>388</v>
      </c>
      <c r="F592" s="31" t="s">
        <v>13</v>
      </c>
      <c r="G592" s="31"/>
      <c r="H592" s="31" t="s">
        <v>14</v>
      </c>
      <c r="I592" s="31">
        <v>0</v>
      </c>
      <c r="J592" s="32">
        <f t="shared" ref="J592:K592" si="164">+J597</f>
        <v>6</v>
      </c>
      <c r="K592" s="33">
        <f t="shared" si="164"/>
        <v>6</v>
      </c>
      <c r="L592" s="37">
        <f>+I592+J592-K592</f>
        <v>0</v>
      </c>
    </row>
    <row r="593" spans="1:12" x14ac:dyDescent="0.2">
      <c r="A593" s="58" t="s">
        <v>15</v>
      </c>
      <c r="B593" s="58"/>
      <c r="C593" s="59" t="s">
        <v>3</v>
      </c>
      <c r="D593" s="59"/>
      <c r="E593" s="59"/>
      <c r="F593" s="59"/>
      <c r="G593" s="59"/>
      <c r="H593" s="59"/>
      <c r="I593" s="59"/>
      <c r="J593" s="35" t="s">
        <v>8</v>
      </c>
      <c r="K593" s="35" t="s">
        <v>9</v>
      </c>
      <c r="L593" s="35" t="s">
        <v>10</v>
      </c>
    </row>
    <row r="594" spans="1:12" x14ac:dyDescent="0.2">
      <c r="A594" s="52">
        <v>46052</v>
      </c>
      <c r="B594" s="52"/>
      <c r="C594" s="54" t="s">
        <v>277</v>
      </c>
      <c r="D594" s="54"/>
      <c r="E594" s="54"/>
      <c r="F594" s="54"/>
      <c r="G594" s="54"/>
      <c r="H594" s="54"/>
      <c r="I594" s="54"/>
      <c r="J594" s="31">
        <v>6</v>
      </c>
      <c r="K594" s="31"/>
      <c r="L594" s="28"/>
    </row>
    <row r="595" spans="1:12" x14ac:dyDescent="0.2">
      <c r="A595" s="52">
        <v>46084</v>
      </c>
      <c r="B595" s="52"/>
      <c r="C595" s="54" t="s">
        <v>335</v>
      </c>
      <c r="D595" s="54"/>
      <c r="E595" s="54"/>
      <c r="F595" s="54"/>
      <c r="G595" s="54"/>
      <c r="H595" s="54"/>
      <c r="I595" s="54"/>
      <c r="J595" s="31"/>
      <c r="K595" s="31">
        <v>6</v>
      </c>
      <c r="L595" s="28"/>
    </row>
    <row r="596" spans="1:12" x14ac:dyDescent="0.2">
      <c r="A596" s="52"/>
      <c r="B596" s="52"/>
      <c r="C596" s="54"/>
      <c r="D596" s="54"/>
      <c r="E596" s="54"/>
      <c r="F596" s="54"/>
      <c r="G596" s="54"/>
      <c r="H596" s="54"/>
      <c r="I596" s="54"/>
      <c r="J596" s="31"/>
      <c r="K596" s="31"/>
      <c r="L596" s="28"/>
    </row>
    <row r="597" spans="1:12" x14ac:dyDescent="0.2">
      <c r="A597" s="55" t="s">
        <v>16</v>
      </c>
      <c r="B597" s="56"/>
      <c r="C597" s="56"/>
      <c r="D597" s="56"/>
      <c r="E597" s="56"/>
      <c r="F597" s="56"/>
      <c r="G597" s="56"/>
      <c r="H597" s="56"/>
      <c r="I597" s="57"/>
      <c r="J597" s="36">
        <f t="shared" ref="J597:L597" si="165">SUM(J594:J596)</f>
        <v>6</v>
      </c>
      <c r="K597" s="36">
        <f t="shared" si="165"/>
        <v>6</v>
      </c>
      <c r="L597" s="36">
        <f t="shared" si="165"/>
        <v>0</v>
      </c>
    </row>
    <row r="598" spans="1:12" x14ac:dyDescent="0.2">
      <c r="A598" s="27">
        <v>93</v>
      </c>
      <c r="B598" s="28"/>
      <c r="C598" s="43" t="s">
        <v>350</v>
      </c>
      <c r="D598" s="29" t="s">
        <v>297</v>
      </c>
      <c r="E598" s="30" t="s">
        <v>388</v>
      </c>
      <c r="F598" s="31"/>
      <c r="G598" s="31"/>
      <c r="H598" s="31" t="s">
        <v>14</v>
      </c>
      <c r="I598" s="31">
        <v>0</v>
      </c>
      <c r="J598" s="32">
        <f t="shared" ref="J598:K598" si="166">+J603</f>
        <v>1</v>
      </c>
      <c r="K598" s="33">
        <f t="shared" si="166"/>
        <v>0</v>
      </c>
      <c r="L598" s="37">
        <f>+I598+J598-K598</f>
        <v>1</v>
      </c>
    </row>
    <row r="599" spans="1:12" x14ac:dyDescent="0.2">
      <c r="A599" s="58" t="s">
        <v>15</v>
      </c>
      <c r="B599" s="58"/>
      <c r="C599" s="59" t="s">
        <v>3</v>
      </c>
      <c r="D599" s="59"/>
      <c r="E599" s="59"/>
      <c r="F599" s="59"/>
      <c r="G599" s="59"/>
      <c r="H599" s="59"/>
      <c r="I599" s="59"/>
      <c r="J599" s="35" t="s">
        <v>8</v>
      </c>
      <c r="K599" s="35" t="s">
        <v>9</v>
      </c>
      <c r="L599" s="35" t="s">
        <v>10</v>
      </c>
    </row>
    <row r="600" spans="1:12" x14ac:dyDescent="0.2">
      <c r="A600" s="52">
        <v>46052</v>
      </c>
      <c r="B600" s="52"/>
      <c r="C600" s="54" t="s">
        <v>277</v>
      </c>
      <c r="D600" s="54"/>
      <c r="E600" s="54"/>
      <c r="F600" s="54"/>
      <c r="G600" s="54"/>
      <c r="H600" s="54"/>
      <c r="I600" s="54"/>
      <c r="J600" s="31">
        <v>1</v>
      </c>
      <c r="K600" s="31"/>
      <c r="L600" s="28"/>
    </row>
    <row r="601" spans="1:12" x14ac:dyDescent="0.2">
      <c r="A601" s="52"/>
      <c r="B601" s="52"/>
      <c r="C601" s="54"/>
      <c r="D601" s="54"/>
      <c r="E601" s="54"/>
      <c r="F601" s="54"/>
      <c r="G601" s="54"/>
      <c r="H601" s="54"/>
      <c r="I601" s="54"/>
      <c r="J601" s="31"/>
      <c r="K601" s="31"/>
      <c r="L601" s="28"/>
    </row>
    <row r="602" spans="1:12" x14ac:dyDescent="0.2">
      <c r="A602" s="52"/>
      <c r="B602" s="52"/>
      <c r="C602" s="54"/>
      <c r="D602" s="54"/>
      <c r="E602" s="54"/>
      <c r="F602" s="54"/>
      <c r="G602" s="54"/>
      <c r="H602" s="54"/>
      <c r="I602" s="54"/>
      <c r="J602" s="31"/>
      <c r="K602" s="31"/>
      <c r="L602" s="28"/>
    </row>
    <row r="603" spans="1:12" x14ac:dyDescent="0.2">
      <c r="A603" s="55" t="s">
        <v>16</v>
      </c>
      <c r="B603" s="56"/>
      <c r="C603" s="56"/>
      <c r="D603" s="56"/>
      <c r="E603" s="56"/>
      <c r="F603" s="56"/>
      <c r="G603" s="56"/>
      <c r="H603" s="56"/>
      <c r="I603" s="57"/>
      <c r="J603" s="36">
        <f t="shared" ref="J603:L603" si="167">SUM(J600:J602)</f>
        <v>1</v>
      </c>
      <c r="K603" s="36">
        <f t="shared" si="167"/>
        <v>0</v>
      </c>
      <c r="L603" s="36">
        <f t="shared" si="167"/>
        <v>0</v>
      </c>
    </row>
    <row r="604" spans="1:12" x14ac:dyDescent="0.2">
      <c r="A604" s="27">
        <v>94</v>
      </c>
      <c r="B604" s="28"/>
      <c r="C604" s="43" t="s">
        <v>350</v>
      </c>
      <c r="D604" s="29" t="s">
        <v>288</v>
      </c>
      <c r="E604" s="30" t="s">
        <v>388</v>
      </c>
      <c r="F604" s="31"/>
      <c r="G604" s="31"/>
      <c r="H604" s="31" t="s">
        <v>14</v>
      </c>
      <c r="I604" s="31">
        <v>0</v>
      </c>
      <c r="J604" s="32">
        <f t="shared" ref="J604:K604" si="168">+J609</f>
        <v>4</v>
      </c>
      <c r="K604" s="33">
        <f t="shared" si="168"/>
        <v>0</v>
      </c>
      <c r="L604" s="37">
        <f>+I604+J604-K604</f>
        <v>4</v>
      </c>
    </row>
    <row r="605" spans="1:12" x14ac:dyDescent="0.2">
      <c r="A605" s="58" t="s">
        <v>15</v>
      </c>
      <c r="B605" s="58"/>
      <c r="C605" s="59" t="s">
        <v>3</v>
      </c>
      <c r="D605" s="59"/>
      <c r="E605" s="59"/>
      <c r="F605" s="59"/>
      <c r="G605" s="59"/>
      <c r="H605" s="59"/>
      <c r="I605" s="59"/>
      <c r="J605" s="35" t="s">
        <v>8</v>
      </c>
      <c r="K605" s="35" t="s">
        <v>9</v>
      </c>
      <c r="L605" s="35" t="s">
        <v>10</v>
      </c>
    </row>
    <row r="606" spans="1:12" x14ac:dyDescent="0.2">
      <c r="A606" s="52">
        <v>46052</v>
      </c>
      <c r="B606" s="52"/>
      <c r="C606" s="54" t="s">
        <v>277</v>
      </c>
      <c r="D606" s="54"/>
      <c r="E606" s="54"/>
      <c r="F606" s="54"/>
      <c r="G606" s="54"/>
      <c r="H606" s="54"/>
      <c r="I606" s="54"/>
      <c r="J606" s="31">
        <v>4</v>
      </c>
      <c r="K606" s="31"/>
      <c r="L606" s="28"/>
    </row>
    <row r="607" spans="1:12" x14ac:dyDescent="0.2">
      <c r="A607" s="52"/>
      <c r="B607" s="52"/>
      <c r="C607" s="54"/>
      <c r="D607" s="54"/>
      <c r="E607" s="54"/>
      <c r="F607" s="54"/>
      <c r="G607" s="54"/>
      <c r="H607" s="54"/>
      <c r="I607" s="54"/>
      <c r="J607" s="31"/>
      <c r="K607" s="31"/>
      <c r="L607" s="28"/>
    </row>
    <row r="608" spans="1:12" x14ac:dyDescent="0.2">
      <c r="A608" s="52"/>
      <c r="B608" s="52"/>
      <c r="C608" s="54"/>
      <c r="D608" s="54"/>
      <c r="E608" s="54"/>
      <c r="F608" s="54"/>
      <c r="G608" s="54"/>
      <c r="H608" s="54"/>
      <c r="I608" s="54"/>
      <c r="J608" s="31"/>
      <c r="K608" s="31"/>
      <c r="L608" s="28"/>
    </row>
    <row r="609" spans="1:12" x14ac:dyDescent="0.2">
      <c r="A609" s="55" t="s">
        <v>16</v>
      </c>
      <c r="B609" s="56"/>
      <c r="C609" s="56"/>
      <c r="D609" s="56"/>
      <c r="E609" s="56"/>
      <c r="F609" s="56"/>
      <c r="G609" s="56"/>
      <c r="H609" s="56"/>
      <c r="I609" s="57"/>
      <c r="J609" s="36">
        <f t="shared" ref="J609:L609" si="169">SUM(J606:J608)</f>
        <v>4</v>
      </c>
      <c r="K609" s="36">
        <f t="shared" si="169"/>
        <v>0</v>
      </c>
      <c r="L609" s="36">
        <f t="shared" si="169"/>
        <v>0</v>
      </c>
    </row>
    <row r="610" spans="1:12" x14ac:dyDescent="0.2">
      <c r="A610" s="27">
        <v>95</v>
      </c>
      <c r="B610" s="28"/>
      <c r="C610" s="43" t="s">
        <v>350</v>
      </c>
      <c r="D610" s="29" t="s">
        <v>289</v>
      </c>
      <c r="E610" s="30" t="s">
        <v>388</v>
      </c>
      <c r="F610" s="31"/>
      <c r="G610" s="31"/>
      <c r="H610" s="31" t="s">
        <v>14</v>
      </c>
      <c r="I610" s="31">
        <v>0</v>
      </c>
      <c r="J610" s="32">
        <f t="shared" ref="J610:K610" si="170">+J615</f>
        <v>2</v>
      </c>
      <c r="K610" s="33">
        <f t="shared" si="170"/>
        <v>0</v>
      </c>
      <c r="L610" s="34">
        <f>+I610+J610-K610</f>
        <v>2</v>
      </c>
    </row>
    <row r="611" spans="1:12" x14ac:dyDescent="0.2">
      <c r="A611" s="58" t="s">
        <v>15</v>
      </c>
      <c r="B611" s="58"/>
      <c r="C611" s="59" t="s">
        <v>3</v>
      </c>
      <c r="D611" s="59"/>
      <c r="E611" s="59"/>
      <c r="F611" s="59"/>
      <c r="G611" s="59"/>
      <c r="H611" s="59"/>
      <c r="I611" s="59"/>
      <c r="J611" s="35" t="s">
        <v>8</v>
      </c>
      <c r="K611" s="35" t="s">
        <v>9</v>
      </c>
      <c r="L611" s="35" t="s">
        <v>10</v>
      </c>
    </row>
    <row r="612" spans="1:12" x14ac:dyDescent="0.2">
      <c r="A612" s="52">
        <v>46052</v>
      </c>
      <c r="B612" s="52"/>
      <c r="C612" s="54" t="s">
        <v>277</v>
      </c>
      <c r="D612" s="54"/>
      <c r="E612" s="54"/>
      <c r="F612" s="54"/>
      <c r="G612" s="54"/>
      <c r="H612" s="54"/>
      <c r="I612" s="54"/>
      <c r="J612" s="31">
        <v>2</v>
      </c>
      <c r="K612" s="31"/>
      <c r="L612" s="28"/>
    </row>
    <row r="613" spans="1:12" x14ac:dyDescent="0.2">
      <c r="A613" s="52"/>
      <c r="B613" s="52"/>
      <c r="C613" s="54"/>
      <c r="D613" s="54"/>
      <c r="E613" s="54"/>
      <c r="F613" s="54"/>
      <c r="G613" s="54"/>
      <c r="H613" s="54"/>
      <c r="I613" s="54"/>
      <c r="J613" s="31"/>
      <c r="K613" s="31"/>
      <c r="L613" s="28"/>
    </row>
    <row r="614" spans="1:12" x14ac:dyDescent="0.2">
      <c r="A614" s="52"/>
      <c r="B614" s="52"/>
      <c r="C614" s="54"/>
      <c r="D614" s="54"/>
      <c r="E614" s="54"/>
      <c r="F614" s="54"/>
      <c r="G614" s="54"/>
      <c r="H614" s="54"/>
      <c r="I614" s="54"/>
      <c r="J614" s="31"/>
      <c r="K614" s="31"/>
      <c r="L614" s="28"/>
    </row>
    <row r="615" spans="1:12" x14ac:dyDescent="0.2">
      <c r="A615" s="55" t="s">
        <v>16</v>
      </c>
      <c r="B615" s="56"/>
      <c r="C615" s="56"/>
      <c r="D615" s="56"/>
      <c r="E615" s="56"/>
      <c r="F615" s="56"/>
      <c r="G615" s="56"/>
      <c r="H615" s="56"/>
      <c r="I615" s="57"/>
      <c r="J615" s="36">
        <f t="shared" ref="J615:L615" si="171">SUM(J612:J614)</f>
        <v>2</v>
      </c>
      <c r="K615" s="36">
        <f t="shared" si="171"/>
        <v>0</v>
      </c>
      <c r="L615" s="36">
        <f t="shared" si="171"/>
        <v>0</v>
      </c>
    </row>
    <row r="616" spans="1:12" x14ac:dyDescent="0.2">
      <c r="A616" s="27">
        <v>96</v>
      </c>
      <c r="B616" s="28"/>
      <c r="C616" s="43" t="s">
        <v>350</v>
      </c>
      <c r="D616" s="29" t="s">
        <v>290</v>
      </c>
      <c r="E616" s="30"/>
      <c r="F616" s="31"/>
      <c r="G616" s="31"/>
      <c r="H616" s="31" t="s">
        <v>14</v>
      </c>
      <c r="I616" s="31">
        <v>0</v>
      </c>
      <c r="J616" s="32">
        <f t="shared" ref="J616:K616" si="172">+J621</f>
        <v>2</v>
      </c>
      <c r="K616" s="33">
        <f t="shared" si="172"/>
        <v>0</v>
      </c>
      <c r="L616" s="37">
        <f>+I616+J616-K616</f>
        <v>2</v>
      </c>
    </row>
    <row r="617" spans="1:12" x14ac:dyDescent="0.2">
      <c r="A617" s="58" t="s">
        <v>15</v>
      </c>
      <c r="B617" s="58"/>
      <c r="C617" s="59" t="s">
        <v>3</v>
      </c>
      <c r="D617" s="59"/>
      <c r="E617" s="59"/>
      <c r="F617" s="59"/>
      <c r="G617" s="59"/>
      <c r="H617" s="59"/>
      <c r="I617" s="59"/>
      <c r="J617" s="35" t="s">
        <v>8</v>
      </c>
      <c r="K617" s="35" t="s">
        <v>9</v>
      </c>
      <c r="L617" s="35" t="s">
        <v>10</v>
      </c>
    </row>
    <row r="618" spans="1:12" x14ac:dyDescent="0.2">
      <c r="A618" s="52">
        <v>46052</v>
      </c>
      <c r="B618" s="52"/>
      <c r="C618" s="54" t="s">
        <v>277</v>
      </c>
      <c r="D618" s="54"/>
      <c r="E618" s="54"/>
      <c r="F618" s="54"/>
      <c r="G618" s="54"/>
      <c r="H618" s="54"/>
      <c r="I618" s="54"/>
      <c r="J618" s="31">
        <v>2</v>
      </c>
      <c r="K618" s="31"/>
      <c r="L618" s="28"/>
    </row>
    <row r="619" spans="1:12" x14ac:dyDescent="0.2">
      <c r="A619" s="52"/>
      <c r="B619" s="52"/>
      <c r="C619" s="54"/>
      <c r="D619" s="54"/>
      <c r="E619" s="54"/>
      <c r="F619" s="54"/>
      <c r="G619" s="54"/>
      <c r="H619" s="54"/>
      <c r="I619" s="54"/>
      <c r="J619" s="31"/>
      <c r="K619" s="31"/>
      <c r="L619" s="28"/>
    </row>
    <row r="620" spans="1:12" x14ac:dyDescent="0.2">
      <c r="A620" s="52"/>
      <c r="B620" s="52"/>
      <c r="C620" s="54"/>
      <c r="D620" s="54"/>
      <c r="E620" s="54"/>
      <c r="F620" s="54"/>
      <c r="G620" s="54"/>
      <c r="H620" s="54"/>
      <c r="I620" s="54"/>
      <c r="J620" s="31"/>
      <c r="K620" s="31"/>
      <c r="L620" s="28"/>
    </row>
    <row r="621" spans="1:12" x14ac:dyDescent="0.2">
      <c r="A621" s="55" t="s">
        <v>16</v>
      </c>
      <c r="B621" s="56"/>
      <c r="C621" s="56"/>
      <c r="D621" s="56"/>
      <c r="E621" s="56"/>
      <c r="F621" s="56"/>
      <c r="G621" s="56"/>
      <c r="H621" s="56"/>
      <c r="I621" s="57"/>
      <c r="J621" s="36">
        <f t="shared" ref="J621:L621" si="173">SUM(J618:J620)</f>
        <v>2</v>
      </c>
      <c r="K621" s="36">
        <f t="shared" si="173"/>
        <v>0</v>
      </c>
      <c r="L621" s="36">
        <f t="shared" si="173"/>
        <v>0</v>
      </c>
    </row>
    <row r="622" spans="1:12" x14ac:dyDescent="0.2">
      <c r="A622" s="27">
        <v>97</v>
      </c>
      <c r="B622" s="28"/>
      <c r="C622" s="43" t="s">
        <v>350</v>
      </c>
      <c r="D622" s="29" t="s">
        <v>291</v>
      </c>
      <c r="E622" s="30"/>
      <c r="F622" s="31"/>
      <c r="G622" s="31"/>
      <c r="H622" s="31" t="s">
        <v>14</v>
      </c>
      <c r="I622" s="31">
        <v>0</v>
      </c>
      <c r="J622" s="32">
        <f t="shared" ref="J622:K622" si="174">+J627</f>
        <v>8</v>
      </c>
      <c r="K622" s="33">
        <f t="shared" si="174"/>
        <v>0</v>
      </c>
      <c r="L622" s="34">
        <f>+I622+J622-K622</f>
        <v>8</v>
      </c>
    </row>
    <row r="623" spans="1:12" x14ac:dyDescent="0.2">
      <c r="A623" s="58" t="s">
        <v>15</v>
      </c>
      <c r="B623" s="58"/>
      <c r="C623" s="59" t="s">
        <v>3</v>
      </c>
      <c r="D623" s="59"/>
      <c r="E623" s="59"/>
      <c r="F623" s="59"/>
      <c r="G623" s="59"/>
      <c r="H623" s="59"/>
      <c r="I623" s="59"/>
      <c r="J623" s="35" t="s">
        <v>8</v>
      </c>
      <c r="K623" s="35" t="s">
        <v>9</v>
      </c>
      <c r="L623" s="35" t="s">
        <v>10</v>
      </c>
    </row>
    <row r="624" spans="1:12" x14ac:dyDescent="0.2">
      <c r="A624" s="52">
        <v>46052</v>
      </c>
      <c r="B624" s="52"/>
      <c r="C624" s="54" t="s">
        <v>277</v>
      </c>
      <c r="D624" s="54"/>
      <c r="E624" s="54"/>
      <c r="F624" s="54"/>
      <c r="G624" s="54"/>
      <c r="H624" s="54"/>
      <c r="I624" s="54"/>
      <c r="J624" s="31">
        <v>8</v>
      </c>
      <c r="K624" s="31"/>
      <c r="L624" s="28"/>
    </row>
    <row r="625" spans="1:12" x14ac:dyDescent="0.2">
      <c r="A625" s="52"/>
      <c r="B625" s="52"/>
      <c r="C625" s="54"/>
      <c r="D625" s="54"/>
      <c r="E625" s="54"/>
      <c r="F625" s="54"/>
      <c r="G625" s="54"/>
      <c r="H625" s="54"/>
      <c r="I625" s="54"/>
      <c r="J625" s="31"/>
      <c r="K625" s="31"/>
      <c r="L625" s="28"/>
    </row>
    <row r="626" spans="1:12" x14ac:dyDescent="0.2">
      <c r="A626" s="52"/>
      <c r="B626" s="52"/>
      <c r="C626" s="54"/>
      <c r="D626" s="54"/>
      <c r="E626" s="54"/>
      <c r="F626" s="54"/>
      <c r="G626" s="54"/>
      <c r="H626" s="54"/>
      <c r="I626" s="54"/>
      <c r="J626" s="31"/>
      <c r="K626" s="31"/>
      <c r="L626" s="28"/>
    </row>
    <row r="627" spans="1:12" x14ac:dyDescent="0.2">
      <c r="A627" s="55" t="s">
        <v>16</v>
      </c>
      <c r="B627" s="56"/>
      <c r="C627" s="56"/>
      <c r="D627" s="56"/>
      <c r="E627" s="56"/>
      <c r="F627" s="56"/>
      <c r="G627" s="56"/>
      <c r="H627" s="56"/>
      <c r="I627" s="57"/>
      <c r="J627" s="36">
        <f t="shared" ref="J627:L627" si="175">SUM(J624:J626)</f>
        <v>8</v>
      </c>
      <c r="K627" s="36">
        <f t="shared" si="175"/>
        <v>0</v>
      </c>
      <c r="L627" s="36">
        <f t="shared" si="175"/>
        <v>0</v>
      </c>
    </row>
    <row r="628" spans="1:12" x14ac:dyDescent="0.2">
      <c r="A628" s="27">
        <v>98</v>
      </c>
      <c r="B628" s="28"/>
      <c r="C628" s="43" t="s">
        <v>282</v>
      </c>
      <c r="D628" s="29" t="s">
        <v>58</v>
      </c>
      <c r="E628" s="30" t="s">
        <v>388</v>
      </c>
      <c r="F628" s="31"/>
      <c r="G628" s="31"/>
      <c r="H628" s="31" t="s">
        <v>14</v>
      </c>
      <c r="I628" s="31">
        <v>3</v>
      </c>
      <c r="J628" s="32">
        <f t="shared" ref="J628:K628" si="176">+J633</f>
        <v>0</v>
      </c>
      <c r="K628" s="33">
        <f t="shared" si="176"/>
        <v>0</v>
      </c>
      <c r="L628" s="37">
        <f>+I628+J628-K628</f>
        <v>3</v>
      </c>
    </row>
    <row r="629" spans="1:12" x14ac:dyDescent="0.2">
      <c r="A629" s="58" t="s">
        <v>15</v>
      </c>
      <c r="B629" s="58"/>
      <c r="C629" s="59" t="s">
        <v>3</v>
      </c>
      <c r="D629" s="59"/>
      <c r="E629" s="59"/>
      <c r="F629" s="59"/>
      <c r="G629" s="59"/>
      <c r="H629" s="59"/>
      <c r="I629" s="59"/>
      <c r="J629" s="35" t="s">
        <v>8</v>
      </c>
      <c r="K629" s="35" t="s">
        <v>9</v>
      </c>
      <c r="L629" s="35" t="s">
        <v>10</v>
      </c>
    </row>
    <row r="630" spans="1:12" x14ac:dyDescent="0.2">
      <c r="A630" s="52"/>
      <c r="B630" s="52"/>
      <c r="C630" s="54"/>
      <c r="D630" s="54"/>
      <c r="E630" s="54"/>
      <c r="F630" s="54"/>
      <c r="G630" s="54"/>
      <c r="H630" s="54"/>
      <c r="I630" s="54"/>
      <c r="J630" s="31"/>
      <c r="K630" s="31"/>
      <c r="L630" s="28"/>
    </row>
    <row r="631" spans="1:12" x14ac:dyDescent="0.2">
      <c r="A631" s="52"/>
      <c r="B631" s="52"/>
      <c r="C631" s="54"/>
      <c r="D631" s="54"/>
      <c r="E631" s="54"/>
      <c r="F631" s="54"/>
      <c r="G631" s="54"/>
      <c r="H631" s="54"/>
      <c r="I631" s="54"/>
      <c r="J631" s="31"/>
      <c r="K631" s="31"/>
      <c r="L631" s="28"/>
    </row>
    <row r="632" spans="1:12" x14ac:dyDescent="0.2">
      <c r="A632" s="52"/>
      <c r="B632" s="52"/>
      <c r="C632" s="54"/>
      <c r="D632" s="54"/>
      <c r="E632" s="54"/>
      <c r="F632" s="54"/>
      <c r="G632" s="54"/>
      <c r="H632" s="54"/>
      <c r="I632" s="54"/>
      <c r="J632" s="31"/>
      <c r="K632" s="31"/>
      <c r="L632" s="28"/>
    </row>
    <row r="633" spans="1:12" x14ac:dyDescent="0.2">
      <c r="A633" s="55" t="s">
        <v>16</v>
      </c>
      <c r="B633" s="56"/>
      <c r="C633" s="56"/>
      <c r="D633" s="56"/>
      <c r="E633" s="56"/>
      <c r="F633" s="56"/>
      <c r="G633" s="56"/>
      <c r="H633" s="56"/>
      <c r="I633" s="57"/>
      <c r="J633" s="36">
        <f t="shared" ref="J633:L633" si="177">SUM(J630:J632)</f>
        <v>0</v>
      </c>
      <c r="K633" s="36">
        <f t="shared" si="177"/>
        <v>0</v>
      </c>
      <c r="L633" s="36">
        <f t="shared" si="177"/>
        <v>0</v>
      </c>
    </row>
    <row r="634" spans="1:12" x14ac:dyDescent="0.2">
      <c r="A634" s="27">
        <v>99</v>
      </c>
      <c r="B634" s="28"/>
      <c r="C634" s="43" t="s">
        <v>282</v>
      </c>
      <c r="D634" s="29" t="s">
        <v>59</v>
      </c>
      <c r="E634" s="30" t="s">
        <v>388</v>
      </c>
      <c r="F634" s="31"/>
      <c r="G634" s="31"/>
      <c r="H634" s="31" t="s">
        <v>14</v>
      </c>
      <c r="I634" s="31">
        <v>1</v>
      </c>
      <c r="J634" s="32">
        <f t="shared" ref="J634:K634" si="178">+J639</f>
        <v>0</v>
      </c>
      <c r="K634" s="33">
        <f t="shared" si="178"/>
        <v>0</v>
      </c>
      <c r="L634" s="38">
        <f>+I634+J634-K634</f>
        <v>1</v>
      </c>
    </row>
    <row r="635" spans="1:12" x14ac:dyDescent="0.2">
      <c r="A635" s="58" t="s">
        <v>15</v>
      </c>
      <c r="B635" s="58"/>
      <c r="C635" s="59" t="s">
        <v>3</v>
      </c>
      <c r="D635" s="59"/>
      <c r="E635" s="59"/>
      <c r="F635" s="59"/>
      <c r="G635" s="59"/>
      <c r="H635" s="59"/>
      <c r="I635" s="59"/>
      <c r="J635" s="35" t="s">
        <v>8</v>
      </c>
      <c r="K635" s="35" t="s">
        <v>9</v>
      </c>
      <c r="L635" s="35" t="s">
        <v>10</v>
      </c>
    </row>
    <row r="636" spans="1:12" x14ac:dyDescent="0.2">
      <c r="A636" s="52"/>
      <c r="B636" s="52"/>
      <c r="C636" s="54"/>
      <c r="D636" s="54"/>
      <c r="E636" s="54"/>
      <c r="F636" s="54"/>
      <c r="G636" s="54"/>
      <c r="H636" s="54"/>
      <c r="I636" s="54"/>
      <c r="J636" s="31"/>
      <c r="K636" s="31"/>
      <c r="L636" s="28"/>
    </row>
    <row r="637" spans="1:12" x14ac:dyDescent="0.2">
      <c r="A637" s="52"/>
      <c r="B637" s="52"/>
      <c r="C637" s="54"/>
      <c r="D637" s="54"/>
      <c r="E637" s="54"/>
      <c r="F637" s="54"/>
      <c r="G637" s="54"/>
      <c r="H637" s="54"/>
      <c r="I637" s="54"/>
      <c r="J637" s="31"/>
      <c r="K637" s="31"/>
      <c r="L637" s="28"/>
    </row>
    <row r="638" spans="1:12" x14ac:dyDescent="0.2">
      <c r="A638" s="52"/>
      <c r="B638" s="52"/>
      <c r="C638" s="54"/>
      <c r="D638" s="54"/>
      <c r="E638" s="54"/>
      <c r="F638" s="54"/>
      <c r="G638" s="54"/>
      <c r="H638" s="54"/>
      <c r="I638" s="54"/>
      <c r="J638" s="31"/>
      <c r="K638" s="31"/>
      <c r="L638" s="28"/>
    </row>
    <row r="639" spans="1:12" x14ac:dyDescent="0.2">
      <c r="A639" s="55" t="s">
        <v>16</v>
      </c>
      <c r="B639" s="56"/>
      <c r="C639" s="56"/>
      <c r="D639" s="56"/>
      <c r="E639" s="56"/>
      <c r="F639" s="56"/>
      <c r="G639" s="56"/>
      <c r="H639" s="56"/>
      <c r="I639" s="57"/>
      <c r="J639" s="36">
        <f t="shared" ref="J639:L639" si="179">SUM(J636:J638)</f>
        <v>0</v>
      </c>
      <c r="K639" s="36">
        <f t="shared" si="179"/>
        <v>0</v>
      </c>
      <c r="L639" s="36">
        <f t="shared" si="179"/>
        <v>0</v>
      </c>
    </row>
    <row r="640" spans="1:12" x14ac:dyDescent="0.2">
      <c r="A640" s="27">
        <v>100</v>
      </c>
      <c r="B640" s="28"/>
      <c r="C640" s="43" t="s">
        <v>282</v>
      </c>
      <c r="D640" s="29" t="s">
        <v>60</v>
      </c>
      <c r="E640" s="30" t="s">
        <v>388</v>
      </c>
      <c r="F640" s="31"/>
      <c r="G640" s="31"/>
      <c r="H640" s="31" t="s">
        <v>14</v>
      </c>
      <c r="I640" s="31">
        <v>1</v>
      </c>
      <c r="J640" s="32">
        <f t="shared" ref="J640:K640" si="180">+J645</f>
        <v>1</v>
      </c>
      <c r="K640" s="33">
        <f t="shared" si="180"/>
        <v>0</v>
      </c>
      <c r="L640" s="37">
        <f>+I640+J640-K640</f>
        <v>2</v>
      </c>
    </row>
    <row r="641" spans="1:12" x14ac:dyDescent="0.2">
      <c r="A641" s="58" t="s">
        <v>15</v>
      </c>
      <c r="B641" s="58"/>
      <c r="C641" s="59" t="s">
        <v>3</v>
      </c>
      <c r="D641" s="59"/>
      <c r="E641" s="59"/>
      <c r="F641" s="59"/>
      <c r="G641" s="59"/>
      <c r="H641" s="59"/>
      <c r="I641" s="59"/>
      <c r="J641" s="35" t="s">
        <v>8</v>
      </c>
      <c r="K641" s="35" t="s">
        <v>9</v>
      </c>
      <c r="L641" s="35" t="s">
        <v>10</v>
      </c>
    </row>
    <row r="642" spans="1:12" x14ac:dyDescent="0.2">
      <c r="A642" s="52">
        <v>46052</v>
      </c>
      <c r="B642" s="52"/>
      <c r="C642" s="54" t="s">
        <v>277</v>
      </c>
      <c r="D642" s="54"/>
      <c r="E642" s="54"/>
      <c r="F642" s="54"/>
      <c r="G642" s="54"/>
      <c r="H642" s="54"/>
      <c r="I642" s="54"/>
      <c r="J642" s="31">
        <v>1</v>
      </c>
      <c r="K642" s="31"/>
      <c r="L642" s="28"/>
    </row>
    <row r="643" spans="1:12" x14ac:dyDescent="0.2">
      <c r="A643" s="52"/>
      <c r="B643" s="52"/>
      <c r="C643" s="54"/>
      <c r="D643" s="54"/>
      <c r="E643" s="54"/>
      <c r="F643" s="54"/>
      <c r="G643" s="54"/>
      <c r="H643" s="54"/>
      <c r="I643" s="54"/>
      <c r="J643" s="31"/>
      <c r="K643" s="31"/>
      <c r="L643" s="28"/>
    </row>
    <row r="644" spans="1:12" x14ac:dyDescent="0.2">
      <c r="A644" s="52"/>
      <c r="B644" s="52"/>
      <c r="C644" s="54"/>
      <c r="D644" s="54"/>
      <c r="E644" s="54"/>
      <c r="F644" s="54"/>
      <c r="G644" s="54"/>
      <c r="H644" s="54"/>
      <c r="I644" s="54"/>
      <c r="J644" s="31"/>
      <c r="K644" s="31"/>
      <c r="L644" s="28"/>
    </row>
    <row r="645" spans="1:12" x14ac:dyDescent="0.2">
      <c r="A645" s="55" t="s">
        <v>16</v>
      </c>
      <c r="B645" s="56"/>
      <c r="C645" s="56"/>
      <c r="D645" s="56"/>
      <c r="E645" s="56"/>
      <c r="F645" s="56"/>
      <c r="G645" s="56"/>
      <c r="H645" s="56"/>
      <c r="I645" s="57"/>
      <c r="J645" s="36">
        <f t="shared" ref="J645:L645" si="181">SUM(J642:J644)</f>
        <v>1</v>
      </c>
      <c r="K645" s="36">
        <f t="shared" si="181"/>
        <v>0</v>
      </c>
      <c r="L645" s="36">
        <f t="shared" si="181"/>
        <v>0</v>
      </c>
    </row>
    <row r="646" spans="1:12" x14ac:dyDescent="0.2">
      <c r="A646" s="27">
        <v>101</v>
      </c>
      <c r="B646" s="28"/>
      <c r="C646" s="43" t="s">
        <v>282</v>
      </c>
      <c r="D646" s="29" t="s">
        <v>61</v>
      </c>
      <c r="E646" s="30" t="s">
        <v>388</v>
      </c>
      <c r="F646" s="31"/>
      <c r="G646" s="31"/>
      <c r="H646" s="31" t="s">
        <v>14</v>
      </c>
      <c r="I646" s="31">
        <v>1</v>
      </c>
      <c r="J646" s="32">
        <f t="shared" ref="J646:K646" si="182">+J651</f>
        <v>0</v>
      </c>
      <c r="K646" s="33">
        <f t="shared" si="182"/>
        <v>0</v>
      </c>
      <c r="L646" s="38">
        <f>+I646+J646-K646</f>
        <v>1</v>
      </c>
    </row>
    <row r="647" spans="1:12" x14ac:dyDescent="0.2">
      <c r="A647" s="58" t="s">
        <v>15</v>
      </c>
      <c r="B647" s="58"/>
      <c r="C647" s="59" t="s">
        <v>3</v>
      </c>
      <c r="D647" s="59"/>
      <c r="E647" s="59"/>
      <c r="F647" s="59"/>
      <c r="G647" s="59"/>
      <c r="H647" s="59"/>
      <c r="I647" s="59"/>
      <c r="J647" s="35" t="s">
        <v>8</v>
      </c>
      <c r="K647" s="35" t="s">
        <v>9</v>
      </c>
      <c r="L647" s="35" t="s">
        <v>10</v>
      </c>
    </row>
    <row r="648" spans="1:12" x14ac:dyDescent="0.2">
      <c r="A648" s="52"/>
      <c r="B648" s="52"/>
      <c r="C648" s="54"/>
      <c r="D648" s="54"/>
      <c r="E648" s="54"/>
      <c r="F648" s="54"/>
      <c r="G648" s="54"/>
      <c r="H648" s="54"/>
      <c r="I648" s="54"/>
      <c r="J648" s="31"/>
      <c r="K648" s="31"/>
      <c r="L648" s="28"/>
    </row>
    <row r="649" spans="1:12" x14ac:dyDescent="0.2">
      <c r="A649" s="52"/>
      <c r="B649" s="52"/>
      <c r="C649" s="54"/>
      <c r="D649" s="54"/>
      <c r="E649" s="54"/>
      <c r="F649" s="54"/>
      <c r="G649" s="54"/>
      <c r="H649" s="54"/>
      <c r="I649" s="54"/>
      <c r="J649" s="31"/>
      <c r="K649" s="31"/>
      <c r="L649" s="28"/>
    </row>
    <row r="650" spans="1:12" x14ac:dyDescent="0.2">
      <c r="A650" s="52"/>
      <c r="B650" s="52"/>
      <c r="C650" s="54"/>
      <c r="D650" s="54"/>
      <c r="E650" s="54"/>
      <c r="F650" s="54"/>
      <c r="G650" s="54"/>
      <c r="H650" s="54"/>
      <c r="I650" s="54"/>
      <c r="J650" s="31"/>
      <c r="K650" s="31"/>
      <c r="L650" s="28"/>
    </row>
    <row r="651" spans="1:12" x14ac:dyDescent="0.2">
      <c r="A651" s="55" t="s">
        <v>16</v>
      </c>
      <c r="B651" s="56"/>
      <c r="C651" s="56"/>
      <c r="D651" s="56"/>
      <c r="E651" s="56"/>
      <c r="F651" s="56"/>
      <c r="G651" s="56"/>
      <c r="H651" s="56"/>
      <c r="I651" s="57"/>
      <c r="J651" s="36">
        <f t="shared" ref="J651:L651" si="183">SUM(J648:J650)</f>
        <v>0</v>
      </c>
      <c r="K651" s="36">
        <f t="shared" si="183"/>
        <v>0</v>
      </c>
      <c r="L651" s="36">
        <f t="shared" si="183"/>
        <v>0</v>
      </c>
    </row>
    <row r="652" spans="1:12" x14ac:dyDescent="0.2">
      <c r="A652" s="27">
        <v>102</v>
      </c>
      <c r="B652" s="28"/>
      <c r="C652" s="28" t="s">
        <v>282</v>
      </c>
      <c r="D652" s="29" t="s">
        <v>305</v>
      </c>
      <c r="E652" s="30" t="s">
        <v>388</v>
      </c>
      <c r="F652" s="31"/>
      <c r="G652" s="31"/>
      <c r="H652" s="31" t="s">
        <v>14</v>
      </c>
      <c r="I652" s="31">
        <v>0</v>
      </c>
      <c r="J652" s="32">
        <f t="shared" ref="J652:K652" si="184">+J657</f>
        <v>1</v>
      </c>
      <c r="K652" s="33">
        <f t="shared" si="184"/>
        <v>0</v>
      </c>
      <c r="L652" s="37">
        <f>+I652+J652-K652</f>
        <v>1</v>
      </c>
    </row>
    <row r="653" spans="1:12" x14ac:dyDescent="0.2">
      <c r="A653" s="58" t="s">
        <v>15</v>
      </c>
      <c r="B653" s="58"/>
      <c r="C653" s="59" t="s">
        <v>3</v>
      </c>
      <c r="D653" s="59"/>
      <c r="E653" s="59"/>
      <c r="F653" s="59"/>
      <c r="G653" s="59"/>
      <c r="H653" s="59"/>
      <c r="I653" s="59"/>
      <c r="J653" s="35" t="s">
        <v>8</v>
      </c>
      <c r="K653" s="35" t="s">
        <v>9</v>
      </c>
      <c r="L653" s="35" t="s">
        <v>10</v>
      </c>
    </row>
    <row r="654" spans="1:12" x14ac:dyDescent="0.2">
      <c r="A654" s="52">
        <v>46052</v>
      </c>
      <c r="B654" s="52"/>
      <c r="C654" s="54" t="s">
        <v>277</v>
      </c>
      <c r="D654" s="54"/>
      <c r="E654" s="54"/>
      <c r="F654" s="54"/>
      <c r="G654" s="54"/>
      <c r="H654" s="54"/>
      <c r="I654" s="54"/>
      <c r="J654" s="31">
        <v>1</v>
      </c>
      <c r="K654" s="31"/>
      <c r="L654" s="28"/>
    </row>
    <row r="655" spans="1:12" x14ac:dyDescent="0.2">
      <c r="A655" s="52"/>
      <c r="B655" s="52"/>
      <c r="C655" s="54"/>
      <c r="D655" s="54"/>
      <c r="E655" s="54"/>
      <c r="F655" s="54"/>
      <c r="G655" s="54"/>
      <c r="H655" s="54"/>
      <c r="I655" s="54"/>
      <c r="J655" s="31"/>
      <c r="K655" s="31"/>
      <c r="L655" s="28"/>
    </row>
    <row r="656" spans="1:12" x14ac:dyDescent="0.2">
      <c r="A656" s="52"/>
      <c r="B656" s="52"/>
      <c r="C656" s="54"/>
      <c r="D656" s="54"/>
      <c r="E656" s="54"/>
      <c r="F656" s="54"/>
      <c r="G656" s="54"/>
      <c r="H656" s="54"/>
      <c r="I656" s="54"/>
      <c r="J656" s="31"/>
      <c r="K656" s="31"/>
      <c r="L656" s="28"/>
    </row>
    <row r="657" spans="1:12" x14ac:dyDescent="0.2">
      <c r="A657" s="55" t="s">
        <v>16</v>
      </c>
      <c r="B657" s="56"/>
      <c r="C657" s="56"/>
      <c r="D657" s="56"/>
      <c r="E657" s="56"/>
      <c r="F657" s="56"/>
      <c r="G657" s="56"/>
      <c r="H657" s="56"/>
      <c r="I657" s="57"/>
      <c r="J657" s="36">
        <f t="shared" ref="J657:L657" si="185">SUM(J654:J656)</f>
        <v>1</v>
      </c>
      <c r="K657" s="36">
        <f t="shared" si="185"/>
        <v>0</v>
      </c>
      <c r="L657" s="36">
        <f t="shared" si="185"/>
        <v>0</v>
      </c>
    </row>
    <row r="658" spans="1:12" x14ac:dyDescent="0.2">
      <c r="A658" s="27">
        <v>103</v>
      </c>
      <c r="B658" s="28"/>
      <c r="C658" s="28" t="s">
        <v>282</v>
      </c>
      <c r="D658" s="51" t="s">
        <v>420</v>
      </c>
      <c r="E658" s="30" t="s">
        <v>419</v>
      </c>
      <c r="F658" s="31"/>
      <c r="G658" s="31"/>
      <c r="H658" s="31" t="s">
        <v>14</v>
      </c>
      <c r="I658" s="31">
        <v>1</v>
      </c>
      <c r="J658" s="32">
        <f t="shared" ref="J658:K658" si="186">+J663</f>
        <v>0</v>
      </c>
      <c r="K658" s="33">
        <f t="shared" si="186"/>
        <v>0</v>
      </c>
      <c r="L658" s="37">
        <f>+I658+J658-K658</f>
        <v>1</v>
      </c>
    </row>
    <row r="659" spans="1:12" x14ac:dyDescent="0.2">
      <c r="A659" s="58" t="s">
        <v>15</v>
      </c>
      <c r="B659" s="58"/>
      <c r="C659" s="59" t="s">
        <v>3</v>
      </c>
      <c r="D659" s="59"/>
      <c r="E659" s="59"/>
      <c r="F659" s="59"/>
      <c r="G659" s="59"/>
      <c r="H659" s="59"/>
      <c r="I659" s="59"/>
      <c r="J659" s="35" t="s">
        <v>8</v>
      </c>
      <c r="K659" s="35" t="s">
        <v>9</v>
      </c>
      <c r="L659" s="35" t="s">
        <v>10</v>
      </c>
    </row>
    <row r="660" spans="1:12" x14ac:dyDescent="0.2">
      <c r="A660" s="52"/>
      <c r="B660" s="52"/>
      <c r="C660" s="54"/>
      <c r="D660" s="54"/>
      <c r="E660" s="54"/>
      <c r="F660" s="54"/>
      <c r="G660" s="54"/>
      <c r="H660" s="54"/>
      <c r="I660" s="54"/>
      <c r="J660" s="31"/>
      <c r="K660" s="31"/>
      <c r="L660" s="28"/>
    </row>
    <row r="661" spans="1:12" x14ac:dyDescent="0.2">
      <c r="A661" s="52"/>
      <c r="B661" s="52"/>
      <c r="C661" s="54"/>
      <c r="D661" s="54"/>
      <c r="E661" s="54"/>
      <c r="F661" s="54"/>
      <c r="G661" s="54"/>
      <c r="H661" s="54"/>
      <c r="I661" s="54"/>
      <c r="J661" s="31"/>
      <c r="K661" s="31"/>
      <c r="L661" s="28"/>
    </row>
    <row r="662" spans="1:12" x14ac:dyDescent="0.2">
      <c r="A662" s="52"/>
      <c r="B662" s="52"/>
      <c r="C662" s="54"/>
      <c r="D662" s="54"/>
      <c r="E662" s="54"/>
      <c r="F662" s="54"/>
      <c r="G662" s="54"/>
      <c r="H662" s="54"/>
      <c r="I662" s="54"/>
      <c r="J662" s="31"/>
      <c r="K662" s="31"/>
      <c r="L662" s="28"/>
    </row>
    <row r="663" spans="1:12" x14ac:dyDescent="0.2">
      <c r="A663" s="55" t="s">
        <v>16</v>
      </c>
      <c r="B663" s="56"/>
      <c r="C663" s="56"/>
      <c r="D663" s="56"/>
      <c r="E663" s="56"/>
      <c r="F663" s="56"/>
      <c r="G663" s="56"/>
      <c r="H663" s="56"/>
      <c r="I663" s="57"/>
      <c r="J663" s="36">
        <f t="shared" ref="J663:L663" si="187">SUM(J660:J662)</f>
        <v>0</v>
      </c>
      <c r="K663" s="36">
        <f t="shared" si="187"/>
        <v>0</v>
      </c>
      <c r="L663" s="36">
        <f t="shared" si="187"/>
        <v>0</v>
      </c>
    </row>
    <row r="664" spans="1:12" x14ac:dyDescent="0.2">
      <c r="A664" s="27">
        <v>104</v>
      </c>
      <c r="B664" s="28"/>
      <c r="C664" s="28" t="s">
        <v>282</v>
      </c>
      <c r="D664" s="46" t="s">
        <v>389</v>
      </c>
      <c r="E664" s="30" t="s">
        <v>388</v>
      </c>
      <c r="F664" s="31"/>
      <c r="G664" s="31"/>
      <c r="H664" s="31" t="s">
        <v>14</v>
      </c>
      <c r="I664" s="31">
        <v>0</v>
      </c>
      <c r="J664" s="32">
        <f t="shared" ref="J664:K664" si="188">+J669</f>
        <v>2</v>
      </c>
      <c r="K664" s="33">
        <f t="shared" si="188"/>
        <v>0</v>
      </c>
      <c r="L664" s="37">
        <f>+I664+J664-K664</f>
        <v>2</v>
      </c>
    </row>
    <row r="665" spans="1:12" x14ac:dyDescent="0.2">
      <c r="A665" s="58" t="s">
        <v>15</v>
      </c>
      <c r="B665" s="58"/>
      <c r="C665" s="59" t="s">
        <v>3</v>
      </c>
      <c r="D665" s="59"/>
      <c r="E665" s="59"/>
      <c r="F665" s="59"/>
      <c r="G665" s="59"/>
      <c r="H665" s="59"/>
      <c r="I665" s="59"/>
      <c r="J665" s="35" t="s">
        <v>8</v>
      </c>
      <c r="K665" s="35" t="s">
        <v>9</v>
      </c>
      <c r="L665" s="35" t="s">
        <v>10</v>
      </c>
    </row>
    <row r="666" spans="1:12" x14ac:dyDescent="0.2">
      <c r="A666" s="52">
        <v>46107</v>
      </c>
      <c r="B666" s="52"/>
      <c r="C666" s="61" t="s">
        <v>363</v>
      </c>
      <c r="D666" s="54"/>
      <c r="E666" s="54"/>
      <c r="F666" s="54"/>
      <c r="G666" s="54"/>
      <c r="H666" s="54"/>
      <c r="I666" s="54"/>
      <c r="J666" s="31">
        <v>2</v>
      </c>
      <c r="K666" s="31"/>
      <c r="L666" s="28"/>
    </row>
    <row r="667" spans="1:12" x14ac:dyDescent="0.2">
      <c r="A667" s="52"/>
      <c r="B667" s="52"/>
      <c r="C667" s="54"/>
      <c r="D667" s="54"/>
      <c r="E667" s="54"/>
      <c r="F667" s="54"/>
      <c r="G667" s="54"/>
      <c r="H667" s="54"/>
      <c r="I667" s="54"/>
      <c r="J667" s="31"/>
      <c r="K667" s="31"/>
      <c r="L667" s="28"/>
    </row>
    <row r="668" spans="1:12" x14ac:dyDescent="0.2">
      <c r="A668" s="52"/>
      <c r="B668" s="52"/>
      <c r="C668" s="54"/>
      <c r="D668" s="54"/>
      <c r="E668" s="54"/>
      <c r="F668" s="54"/>
      <c r="G668" s="54"/>
      <c r="H668" s="54"/>
      <c r="I668" s="54"/>
      <c r="J668" s="31"/>
      <c r="K668" s="31"/>
      <c r="L668" s="28"/>
    </row>
    <row r="669" spans="1:12" x14ac:dyDescent="0.2">
      <c r="A669" s="55" t="s">
        <v>16</v>
      </c>
      <c r="B669" s="56"/>
      <c r="C669" s="56"/>
      <c r="D669" s="56"/>
      <c r="E669" s="56"/>
      <c r="F669" s="56"/>
      <c r="G669" s="56"/>
      <c r="H669" s="56"/>
      <c r="I669" s="57"/>
      <c r="J669" s="36">
        <f t="shared" ref="J669:L669" si="189">SUM(J666:J668)</f>
        <v>2</v>
      </c>
      <c r="K669" s="36">
        <f t="shared" si="189"/>
        <v>0</v>
      </c>
      <c r="L669" s="36">
        <f t="shared" si="189"/>
        <v>0</v>
      </c>
    </row>
    <row r="670" spans="1:12" x14ac:dyDescent="0.2">
      <c r="A670" s="27">
        <v>105</v>
      </c>
      <c r="B670" s="28"/>
      <c r="C670" s="43" t="s">
        <v>282</v>
      </c>
      <c r="D670" s="29" t="s">
        <v>62</v>
      </c>
      <c r="E670" s="30" t="s">
        <v>388</v>
      </c>
      <c r="F670" s="31"/>
      <c r="G670" s="31"/>
      <c r="H670" s="31" t="s">
        <v>14</v>
      </c>
      <c r="I670" s="31">
        <v>1</v>
      </c>
      <c r="J670" s="32">
        <f t="shared" ref="J670:K670" si="190">+J675</f>
        <v>0</v>
      </c>
      <c r="K670" s="33">
        <f t="shared" si="190"/>
        <v>0</v>
      </c>
      <c r="L670" s="37">
        <f>+I670+J670-K670</f>
        <v>1</v>
      </c>
    </row>
    <row r="671" spans="1:12" x14ac:dyDescent="0.2">
      <c r="A671" s="58" t="s">
        <v>15</v>
      </c>
      <c r="B671" s="58"/>
      <c r="C671" s="59" t="s">
        <v>3</v>
      </c>
      <c r="D671" s="59"/>
      <c r="E671" s="59"/>
      <c r="F671" s="59"/>
      <c r="G671" s="59"/>
      <c r="H671" s="59"/>
      <c r="I671" s="59"/>
      <c r="J671" s="35" t="s">
        <v>8</v>
      </c>
      <c r="K671" s="35" t="s">
        <v>9</v>
      </c>
      <c r="L671" s="35" t="s">
        <v>10</v>
      </c>
    </row>
    <row r="672" spans="1:12" x14ac:dyDescent="0.2">
      <c r="A672" s="52"/>
      <c r="B672" s="52"/>
      <c r="C672" s="54"/>
      <c r="D672" s="54"/>
      <c r="E672" s="54"/>
      <c r="F672" s="54"/>
      <c r="G672" s="54"/>
      <c r="H672" s="54"/>
      <c r="I672" s="54"/>
      <c r="J672" s="31"/>
      <c r="K672" s="31"/>
      <c r="L672" s="28"/>
    </row>
    <row r="673" spans="1:12" x14ac:dyDescent="0.2">
      <c r="A673" s="52"/>
      <c r="B673" s="52"/>
      <c r="C673" s="54"/>
      <c r="D673" s="54"/>
      <c r="E673" s="54"/>
      <c r="F673" s="54"/>
      <c r="G673" s="54"/>
      <c r="H673" s="54"/>
      <c r="I673" s="54"/>
      <c r="J673" s="31"/>
      <c r="K673" s="31"/>
      <c r="L673" s="28"/>
    </row>
    <row r="674" spans="1:12" x14ac:dyDescent="0.2">
      <c r="A674" s="52"/>
      <c r="B674" s="52"/>
      <c r="C674" s="54"/>
      <c r="D674" s="54"/>
      <c r="E674" s="54"/>
      <c r="F674" s="54"/>
      <c r="G674" s="54"/>
      <c r="H674" s="54"/>
      <c r="I674" s="54"/>
      <c r="J674" s="31"/>
      <c r="K674" s="31"/>
      <c r="L674" s="28"/>
    </row>
    <row r="675" spans="1:12" x14ac:dyDescent="0.2">
      <c r="A675" s="55" t="s">
        <v>16</v>
      </c>
      <c r="B675" s="56"/>
      <c r="C675" s="56"/>
      <c r="D675" s="56"/>
      <c r="E675" s="56"/>
      <c r="F675" s="56"/>
      <c r="G675" s="56"/>
      <c r="H675" s="56"/>
      <c r="I675" s="57"/>
      <c r="J675" s="36">
        <f t="shared" ref="J675:L675" si="191">SUM(J672:J674)</f>
        <v>0</v>
      </c>
      <c r="K675" s="36">
        <f t="shared" si="191"/>
        <v>0</v>
      </c>
      <c r="L675" s="36">
        <f t="shared" si="191"/>
        <v>0</v>
      </c>
    </row>
    <row r="676" spans="1:12" x14ac:dyDescent="0.2">
      <c r="A676" s="27">
        <v>106</v>
      </c>
      <c r="B676" s="28"/>
      <c r="C676" s="43" t="s">
        <v>282</v>
      </c>
      <c r="D676" s="29" t="s">
        <v>63</v>
      </c>
      <c r="E676" s="30" t="s">
        <v>388</v>
      </c>
      <c r="F676" s="31"/>
      <c r="G676" s="31"/>
      <c r="H676" s="31" t="s">
        <v>14</v>
      </c>
      <c r="I676" s="31">
        <v>3</v>
      </c>
      <c r="J676" s="32">
        <f t="shared" ref="J676:K676" si="192">+J681</f>
        <v>0</v>
      </c>
      <c r="K676" s="33">
        <f t="shared" si="192"/>
        <v>0</v>
      </c>
      <c r="L676" s="38">
        <f>+I676+J676-K676</f>
        <v>3</v>
      </c>
    </row>
    <row r="677" spans="1:12" x14ac:dyDescent="0.2">
      <c r="A677" s="58" t="s">
        <v>15</v>
      </c>
      <c r="B677" s="58"/>
      <c r="C677" s="59" t="s">
        <v>3</v>
      </c>
      <c r="D677" s="59"/>
      <c r="E677" s="59"/>
      <c r="F677" s="59"/>
      <c r="G677" s="59"/>
      <c r="H677" s="59"/>
      <c r="I677" s="59"/>
      <c r="J677" s="35" t="s">
        <v>8</v>
      </c>
      <c r="K677" s="35" t="s">
        <v>9</v>
      </c>
      <c r="L677" s="35" t="s">
        <v>10</v>
      </c>
    </row>
    <row r="678" spans="1:12" x14ac:dyDescent="0.2">
      <c r="A678" s="52"/>
      <c r="B678" s="52"/>
      <c r="C678" s="54"/>
      <c r="D678" s="54"/>
      <c r="E678" s="54"/>
      <c r="F678" s="54"/>
      <c r="G678" s="54"/>
      <c r="H678" s="54"/>
      <c r="I678" s="54"/>
      <c r="J678" s="31"/>
      <c r="K678" s="31"/>
      <c r="L678" s="28"/>
    </row>
    <row r="679" spans="1:12" x14ac:dyDescent="0.2">
      <c r="A679" s="52"/>
      <c r="B679" s="52"/>
      <c r="C679" s="54"/>
      <c r="D679" s="54"/>
      <c r="E679" s="54"/>
      <c r="F679" s="54"/>
      <c r="G679" s="54"/>
      <c r="H679" s="54"/>
      <c r="I679" s="54"/>
      <c r="J679" s="31"/>
      <c r="K679" s="31"/>
      <c r="L679" s="28"/>
    </row>
    <row r="680" spans="1:12" x14ac:dyDescent="0.2">
      <c r="A680" s="52"/>
      <c r="B680" s="52"/>
      <c r="C680" s="54"/>
      <c r="D680" s="54"/>
      <c r="E680" s="54"/>
      <c r="F680" s="54"/>
      <c r="G680" s="54"/>
      <c r="H680" s="54"/>
      <c r="I680" s="54"/>
      <c r="J680" s="31"/>
      <c r="K680" s="31"/>
      <c r="L680" s="28"/>
    </row>
    <row r="681" spans="1:12" x14ac:dyDescent="0.2">
      <c r="A681" s="55" t="s">
        <v>16</v>
      </c>
      <c r="B681" s="56"/>
      <c r="C681" s="56"/>
      <c r="D681" s="56"/>
      <c r="E681" s="56"/>
      <c r="F681" s="56"/>
      <c r="G681" s="56"/>
      <c r="H681" s="56"/>
      <c r="I681" s="57"/>
      <c r="J681" s="36">
        <f t="shared" ref="J681:L681" si="193">SUM(J678:J680)</f>
        <v>0</v>
      </c>
      <c r="K681" s="36">
        <f t="shared" si="193"/>
        <v>0</v>
      </c>
      <c r="L681" s="36">
        <f t="shared" si="193"/>
        <v>0</v>
      </c>
    </row>
    <row r="682" spans="1:12" x14ac:dyDescent="0.2">
      <c r="A682" s="27">
        <v>107</v>
      </c>
      <c r="B682" s="28"/>
      <c r="C682" s="43" t="s">
        <v>282</v>
      </c>
      <c r="D682" s="29" t="s">
        <v>64</v>
      </c>
      <c r="E682" s="30" t="s">
        <v>388</v>
      </c>
      <c r="F682" s="31"/>
      <c r="G682" s="31"/>
      <c r="H682" s="31" t="s">
        <v>14</v>
      </c>
      <c r="I682" s="31">
        <v>2</v>
      </c>
      <c r="J682" s="32">
        <f t="shared" ref="J682:K682" si="194">+J687</f>
        <v>0</v>
      </c>
      <c r="K682" s="33">
        <f t="shared" si="194"/>
        <v>0</v>
      </c>
      <c r="L682" s="37">
        <f>+I682+J682-K682</f>
        <v>2</v>
      </c>
    </row>
    <row r="683" spans="1:12" x14ac:dyDescent="0.2">
      <c r="A683" s="58" t="s">
        <v>15</v>
      </c>
      <c r="B683" s="58"/>
      <c r="C683" s="59" t="s">
        <v>3</v>
      </c>
      <c r="D683" s="59"/>
      <c r="E683" s="59"/>
      <c r="F683" s="59"/>
      <c r="G683" s="59"/>
      <c r="H683" s="59"/>
      <c r="I683" s="59"/>
      <c r="J683" s="35" t="s">
        <v>8</v>
      </c>
      <c r="K683" s="35" t="s">
        <v>9</v>
      </c>
      <c r="L683" s="35" t="s">
        <v>10</v>
      </c>
    </row>
    <row r="684" spans="1:12" x14ac:dyDescent="0.2">
      <c r="A684" s="52"/>
      <c r="B684" s="52"/>
      <c r="C684" s="54"/>
      <c r="D684" s="54"/>
      <c r="E684" s="54"/>
      <c r="F684" s="54"/>
      <c r="G684" s="54"/>
      <c r="H684" s="54"/>
      <c r="I684" s="54"/>
      <c r="J684" s="31"/>
      <c r="K684" s="31"/>
      <c r="L684" s="28"/>
    </row>
    <row r="685" spans="1:12" x14ac:dyDescent="0.2">
      <c r="A685" s="52"/>
      <c r="B685" s="52"/>
      <c r="C685" s="54"/>
      <c r="D685" s="54"/>
      <c r="E685" s="54"/>
      <c r="F685" s="54"/>
      <c r="G685" s="54"/>
      <c r="H685" s="54"/>
      <c r="I685" s="54"/>
      <c r="J685" s="31"/>
      <c r="K685" s="31"/>
      <c r="L685" s="28"/>
    </row>
    <row r="686" spans="1:12" x14ac:dyDescent="0.2">
      <c r="A686" s="52"/>
      <c r="B686" s="52"/>
      <c r="C686" s="54"/>
      <c r="D686" s="54"/>
      <c r="E686" s="54"/>
      <c r="F686" s="54"/>
      <c r="G686" s="54"/>
      <c r="H686" s="54"/>
      <c r="I686" s="54"/>
      <c r="J686" s="31"/>
      <c r="K686" s="31"/>
      <c r="L686" s="28"/>
    </row>
    <row r="687" spans="1:12" x14ac:dyDescent="0.2">
      <c r="A687" s="55" t="s">
        <v>16</v>
      </c>
      <c r="B687" s="56"/>
      <c r="C687" s="56"/>
      <c r="D687" s="56"/>
      <c r="E687" s="56"/>
      <c r="F687" s="56"/>
      <c r="G687" s="56"/>
      <c r="H687" s="56"/>
      <c r="I687" s="57"/>
      <c r="J687" s="36">
        <f t="shared" ref="J687:L687" si="195">SUM(J684:J686)</f>
        <v>0</v>
      </c>
      <c r="K687" s="36">
        <f t="shared" si="195"/>
        <v>0</v>
      </c>
      <c r="L687" s="36">
        <f t="shared" si="195"/>
        <v>0</v>
      </c>
    </row>
    <row r="688" spans="1:12" x14ac:dyDescent="0.2">
      <c r="A688" s="27">
        <v>108</v>
      </c>
      <c r="B688" s="28"/>
      <c r="C688" s="28" t="s">
        <v>282</v>
      </c>
      <c r="D688" s="29" t="s">
        <v>307</v>
      </c>
      <c r="E688" s="30" t="s">
        <v>388</v>
      </c>
      <c r="F688" s="31"/>
      <c r="G688" s="31"/>
      <c r="H688" s="31" t="s">
        <v>14</v>
      </c>
      <c r="I688" s="31">
        <v>0</v>
      </c>
      <c r="J688" s="32">
        <f t="shared" ref="J688:K688" si="196">+J693</f>
        <v>1</v>
      </c>
      <c r="K688" s="33">
        <f t="shared" si="196"/>
        <v>0</v>
      </c>
      <c r="L688" s="34">
        <f>+I688+J688-K688</f>
        <v>1</v>
      </c>
    </row>
    <row r="689" spans="1:12" x14ac:dyDescent="0.2">
      <c r="A689" s="58" t="s">
        <v>15</v>
      </c>
      <c r="B689" s="58"/>
      <c r="C689" s="59" t="s">
        <v>3</v>
      </c>
      <c r="D689" s="59"/>
      <c r="E689" s="59"/>
      <c r="F689" s="59"/>
      <c r="G689" s="59"/>
      <c r="H689" s="59"/>
      <c r="I689" s="59"/>
      <c r="J689" s="35" t="s">
        <v>8</v>
      </c>
      <c r="K689" s="35" t="s">
        <v>9</v>
      </c>
      <c r="L689" s="35" t="s">
        <v>10</v>
      </c>
    </row>
    <row r="690" spans="1:12" x14ac:dyDescent="0.2">
      <c r="A690" s="52">
        <v>46052</v>
      </c>
      <c r="B690" s="52"/>
      <c r="C690" s="54" t="s">
        <v>277</v>
      </c>
      <c r="D690" s="54"/>
      <c r="E690" s="54"/>
      <c r="F690" s="54"/>
      <c r="G690" s="54"/>
      <c r="H690" s="54"/>
      <c r="I690" s="54"/>
      <c r="J690" s="31">
        <v>1</v>
      </c>
      <c r="K690" s="31"/>
      <c r="L690" s="28"/>
    </row>
    <row r="691" spans="1:12" x14ac:dyDescent="0.2">
      <c r="A691" s="52"/>
      <c r="B691" s="52"/>
      <c r="C691" s="54"/>
      <c r="D691" s="54"/>
      <c r="E691" s="54"/>
      <c r="F691" s="54"/>
      <c r="G691" s="54"/>
      <c r="H691" s="54"/>
      <c r="I691" s="54"/>
      <c r="J691" s="31"/>
      <c r="K691" s="31"/>
      <c r="L691" s="28"/>
    </row>
    <row r="692" spans="1:12" x14ac:dyDescent="0.2">
      <c r="A692" s="52"/>
      <c r="B692" s="52"/>
      <c r="C692" s="54"/>
      <c r="D692" s="54"/>
      <c r="E692" s="54"/>
      <c r="F692" s="54"/>
      <c r="G692" s="54"/>
      <c r="H692" s="54"/>
      <c r="I692" s="54"/>
      <c r="J692" s="31"/>
      <c r="K692" s="31"/>
      <c r="L692" s="28"/>
    </row>
    <row r="693" spans="1:12" x14ac:dyDescent="0.2">
      <c r="A693" s="55" t="s">
        <v>16</v>
      </c>
      <c r="B693" s="56"/>
      <c r="C693" s="56"/>
      <c r="D693" s="56"/>
      <c r="E693" s="56"/>
      <c r="F693" s="56"/>
      <c r="G693" s="56"/>
      <c r="H693" s="56"/>
      <c r="I693" s="57"/>
      <c r="J693" s="36">
        <f t="shared" ref="J693:L693" si="197">SUM(J690:J692)</f>
        <v>1</v>
      </c>
      <c r="K693" s="36">
        <f t="shared" si="197"/>
        <v>0</v>
      </c>
      <c r="L693" s="36">
        <f t="shared" si="197"/>
        <v>0</v>
      </c>
    </row>
    <row r="694" spans="1:12" x14ac:dyDescent="0.2">
      <c r="A694" s="27">
        <v>109</v>
      </c>
      <c r="B694" s="28"/>
      <c r="C694" s="43" t="s">
        <v>282</v>
      </c>
      <c r="D694" s="29" t="s">
        <v>65</v>
      </c>
      <c r="E694" s="30" t="s">
        <v>388</v>
      </c>
      <c r="F694" s="31"/>
      <c r="G694" s="31"/>
      <c r="H694" s="31" t="s">
        <v>14</v>
      </c>
      <c r="I694" s="31">
        <v>1</v>
      </c>
      <c r="J694" s="32">
        <f t="shared" ref="J694:K694" si="198">+J699</f>
        <v>0</v>
      </c>
      <c r="K694" s="33">
        <f t="shared" si="198"/>
        <v>0</v>
      </c>
      <c r="L694" s="38">
        <f>+I694+J694-K694</f>
        <v>1</v>
      </c>
    </row>
    <row r="695" spans="1:12" x14ac:dyDescent="0.2">
      <c r="A695" s="58" t="s">
        <v>15</v>
      </c>
      <c r="B695" s="58"/>
      <c r="C695" s="59" t="s">
        <v>3</v>
      </c>
      <c r="D695" s="59"/>
      <c r="E695" s="59"/>
      <c r="F695" s="59"/>
      <c r="G695" s="59"/>
      <c r="H695" s="59"/>
      <c r="I695" s="59"/>
      <c r="J695" s="35" t="s">
        <v>8</v>
      </c>
      <c r="K695" s="35" t="s">
        <v>9</v>
      </c>
      <c r="L695" s="35" t="s">
        <v>10</v>
      </c>
    </row>
    <row r="696" spans="1:12" x14ac:dyDescent="0.2">
      <c r="A696" s="52"/>
      <c r="B696" s="52"/>
      <c r="C696" s="54"/>
      <c r="D696" s="54"/>
      <c r="E696" s="54"/>
      <c r="F696" s="54"/>
      <c r="G696" s="54"/>
      <c r="H696" s="54"/>
      <c r="I696" s="54"/>
      <c r="J696" s="31"/>
      <c r="K696" s="31"/>
      <c r="L696" s="28"/>
    </row>
    <row r="697" spans="1:12" x14ac:dyDescent="0.2">
      <c r="A697" s="52"/>
      <c r="B697" s="52"/>
      <c r="C697" s="54"/>
      <c r="D697" s="54"/>
      <c r="E697" s="54"/>
      <c r="F697" s="54"/>
      <c r="G697" s="54"/>
      <c r="H697" s="54"/>
      <c r="I697" s="54"/>
      <c r="J697" s="31"/>
      <c r="K697" s="31"/>
      <c r="L697" s="28"/>
    </row>
    <row r="698" spans="1:12" x14ac:dyDescent="0.2">
      <c r="A698" s="52"/>
      <c r="B698" s="52"/>
      <c r="C698" s="54"/>
      <c r="D698" s="54"/>
      <c r="E698" s="54"/>
      <c r="F698" s="54"/>
      <c r="G698" s="54"/>
      <c r="H698" s="54"/>
      <c r="I698" s="54"/>
      <c r="J698" s="31"/>
      <c r="K698" s="31"/>
      <c r="L698" s="28"/>
    </row>
    <row r="699" spans="1:12" x14ac:dyDescent="0.2">
      <c r="A699" s="55" t="s">
        <v>16</v>
      </c>
      <c r="B699" s="56"/>
      <c r="C699" s="56"/>
      <c r="D699" s="56"/>
      <c r="E699" s="56"/>
      <c r="F699" s="56"/>
      <c r="G699" s="56"/>
      <c r="H699" s="56"/>
      <c r="I699" s="57"/>
      <c r="J699" s="36">
        <f t="shared" ref="J699:L699" si="199">SUM(J696:J698)</f>
        <v>0</v>
      </c>
      <c r="K699" s="36">
        <f t="shared" si="199"/>
        <v>0</v>
      </c>
      <c r="L699" s="36">
        <f t="shared" si="199"/>
        <v>0</v>
      </c>
    </row>
    <row r="700" spans="1:12" x14ac:dyDescent="0.2">
      <c r="A700" s="27">
        <v>110</v>
      </c>
      <c r="B700" s="28"/>
      <c r="C700" s="43" t="s">
        <v>282</v>
      </c>
      <c r="D700" s="29" t="s">
        <v>66</v>
      </c>
      <c r="E700" s="30" t="s">
        <v>388</v>
      </c>
      <c r="F700" s="31"/>
      <c r="G700" s="31"/>
      <c r="H700" s="31" t="s">
        <v>14</v>
      </c>
      <c r="I700" s="31">
        <v>4</v>
      </c>
      <c r="J700" s="32">
        <f t="shared" ref="J700:K700" si="200">+J705</f>
        <v>0</v>
      </c>
      <c r="K700" s="33">
        <f t="shared" si="200"/>
        <v>0</v>
      </c>
      <c r="L700" s="37">
        <f>+I700+J700-K700</f>
        <v>4</v>
      </c>
    </row>
    <row r="701" spans="1:12" x14ac:dyDescent="0.2">
      <c r="A701" s="58" t="s">
        <v>15</v>
      </c>
      <c r="B701" s="58"/>
      <c r="C701" s="59" t="s">
        <v>3</v>
      </c>
      <c r="D701" s="59"/>
      <c r="E701" s="59"/>
      <c r="F701" s="59"/>
      <c r="G701" s="59"/>
      <c r="H701" s="59"/>
      <c r="I701" s="59"/>
      <c r="J701" s="35" t="s">
        <v>8</v>
      </c>
      <c r="K701" s="35" t="s">
        <v>9</v>
      </c>
      <c r="L701" s="35" t="s">
        <v>10</v>
      </c>
    </row>
    <row r="702" spans="1:12" x14ac:dyDescent="0.2">
      <c r="A702" s="52"/>
      <c r="B702" s="52"/>
      <c r="C702" s="54"/>
      <c r="D702" s="54"/>
      <c r="E702" s="54"/>
      <c r="F702" s="54"/>
      <c r="G702" s="54"/>
      <c r="H702" s="54"/>
      <c r="I702" s="54"/>
      <c r="J702" s="31"/>
      <c r="K702" s="31"/>
      <c r="L702" s="28"/>
    </row>
    <row r="703" spans="1:12" x14ac:dyDescent="0.2">
      <c r="A703" s="52"/>
      <c r="B703" s="52"/>
      <c r="C703" s="54"/>
      <c r="D703" s="54"/>
      <c r="E703" s="54"/>
      <c r="F703" s="54"/>
      <c r="G703" s="54"/>
      <c r="H703" s="54"/>
      <c r="I703" s="54"/>
      <c r="J703" s="31"/>
      <c r="K703" s="31"/>
      <c r="L703" s="28"/>
    </row>
    <row r="704" spans="1:12" x14ac:dyDescent="0.2">
      <c r="A704" s="52"/>
      <c r="B704" s="52"/>
      <c r="C704" s="54"/>
      <c r="D704" s="54"/>
      <c r="E704" s="54"/>
      <c r="F704" s="54"/>
      <c r="G704" s="54"/>
      <c r="H704" s="54"/>
      <c r="I704" s="54"/>
      <c r="J704" s="31"/>
      <c r="K704" s="31"/>
      <c r="L704" s="28"/>
    </row>
    <row r="705" spans="1:12" x14ac:dyDescent="0.2">
      <c r="A705" s="55" t="s">
        <v>16</v>
      </c>
      <c r="B705" s="56"/>
      <c r="C705" s="56"/>
      <c r="D705" s="56"/>
      <c r="E705" s="56"/>
      <c r="F705" s="56"/>
      <c r="G705" s="56"/>
      <c r="H705" s="56"/>
      <c r="I705" s="57"/>
      <c r="J705" s="36">
        <f t="shared" ref="J705:L705" si="201">SUM(J702:J704)</f>
        <v>0</v>
      </c>
      <c r="K705" s="36">
        <f t="shared" si="201"/>
        <v>0</v>
      </c>
      <c r="L705" s="36">
        <f t="shared" si="201"/>
        <v>0</v>
      </c>
    </row>
    <row r="706" spans="1:12" x14ac:dyDescent="0.2">
      <c r="A706" s="27">
        <v>111</v>
      </c>
      <c r="B706" s="28"/>
      <c r="C706" s="43" t="s">
        <v>282</v>
      </c>
      <c r="D706" s="29" t="s">
        <v>67</v>
      </c>
      <c r="E706" s="30" t="s">
        <v>388</v>
      </c>
      <c r="F706" s="31"/>
      <c r="G706" s="31"/>
      <c r="H706" s="31" t="s">
        <v>14</v>
      </c>
      <c r="I706" s="31">
        <v>2</v>
      </c>
      <c r="J706" s="32">
        <f t="shared" ref="J706:K706" si="202">+J711</f>
        <v>1</v>
      </c>
      <c r="K706" s="33">
        <f t="shared" si="202"/>
        <v>0</v>
      </c>
      <c r="L706" s="38">
        <f>+I706+J706-K706</f>
        <v>3</v>
      </c>
    </row>
    <row r="707" spans="1:12" x14ac:dyDescent="0.2">
      <c r="A707" s="58" t="s">
        <v>15</v>
      </c>
      <c r="B707" s="58"/>
      <c r="C707" s="59" t="s">
        <v>3</v>
      </c>
      <c r="D707" s="59"/>
      <c r="E707" s="59"/>
      <c r="F707" s="59"/>
      <c r="G707" s="59"/>
      <c r="H707" s="59"/>
      <c r="I707" s="59"/>
      <c r="J707" s="35" t="s">
        <v>8</v>
      </c>
      <c r="K707" s="35" t="s">
        <v>9</v>
      </c>
      <c r="L707" s="35" t="s">
        <v>10</v>
      </c>
    </row>
    <row r="708" spans="1:12" x14ac:dyDescent="0.2">
      <c r="A708" s="52">
        <v>46048</v>
      </c>
      <c r="B708" s="52"/>
      <c r="C708" s="61" t="s">
        <v>363</v>
      </c>
      <c r="D708" s="54"/>
      <c r="E708" s="54"/>
      <c r="F708" s="54"/>
      <c r="G708" s="54"/>
      <c r="H708" s="54"/>
      <c r="I708" s="54"/>
      <c r="J708" s="31">
        <v>1</v>
      </c>
      <c r="K708" s="31"/>
      <c r="L708" s="28"/>
    </row>
    <row r="709" spans="1:12" x14ac:dyDescent="0.2">
      <c r="A709" s="52"/>
      <c r="B709" s="52"/>
      <c r="C709" s="54"/>
      <c r="D709" s="54"/>
      <c r="E709" s="54"/>
      <c r="F709" s="54"/>
      <c r="G709" s="54"/>
      <c r="H709" s="54"/>
      <c r="I709" s="54"/>
      <c r="J709" s="31"/>
      <c r="K709" s="31"/>
      <c r="L709" s="28"/>
    </row>
    <row r="710" spans="1:12" x14ac:dyDescent="0.2">
      <c r="A710" s="52"/>
      <c r="B710" s="52"/>
      <c r="C710" s="54"/>
      <c r="D710" s="54"/>
      <c r="E710" s="54"/>
      <c r="F710" s="54"/>
      <c r="G710" s="54"/>
      <c r="H710" s="54"/>
      <c r="I710" s="54"/>
      <c r="J710" s="31"/>
      <c r="K710" s="31"/>
      <c r="L710" s="28"/>
    </row>
    <row r="711" spans="1:12" x14ac:dyDescent="0.2">
      <c r="A711" s="55" t="s">
        <v>16</v>
      </c>
      <c r="B711" s="56"/>
      <c r="C711" s="56"/>
      <c r="D711" s="56"/>
      <c r="E711" s="56"/>
      <c r="F711" s="56"/>
      <c r="G711" s="56"/>
      <c r="H711" s="56"/>
      <c r="I711" s="57"/>
      <c r="J711" s="36">
        <f t="shared" ref="J711:L711" si="203">SUM(J708:J710)</f>
        <v>1</v>
      </c>
      <c r="K711" s="36">
        <f t="shared" si="203"/>
        <v>0</v>
      </c>
      <c r="L711" s="36">
        <f t="shared" si="203"/>
        <v>0</v>
      </c>
    </row>
    <row r="712" spans="1:12" x14ac:dyDescent="0.2">
      <c r="A712" s="27">
        <v>112</v>
      </c>
      <c r="B712" s="28"/>
      <c r="C712" s="43" t="s">
        <v>282</v>
      </c>
      <c r="D712" s="46" t="s">
        <v>396</v>
      </c>
      <c r="E712" s="30" t="s">
        <v>388</v>
      </c>
      <c r="F712" s="31"/>
      <c r="G712" s="31"/>
      <c r="H712" s="31" t="s">
        <v>14</v>
      </c>
      <c r="I712" s="31">
        <v>0</v>
      </c>
      <c r="J712" s="32">
        <f t="shared" ref="J712:K712" si="204">+J717</f>
        <v>1</v>
      </c>
      <c r="K712" s="33">
        <f t="shared" si="204"/>
        <v>0</v>
      </c>
      <c r="L712" s="38">
        <f>+I712+J712-K712</f>
        <v>1</v>
      </c>
    </row>
    <row r="713" spans="1:12" x14ac:dyDescent="0.2">
      <c r="A713" s="58" t="s">
        <v>15</v>
      </c>
      <c r="B713" s="58"/>
      <c r="C713" s="59" t="s">
        <v>3</v>
      </c>
      <c r="D713" s="59"/>
      <c r="E713" s="59"/>
      <c r="F713" s="59"/>
      <c r="G713" s="59"/>
      <c r="H713" s="59"/>
      <c r="I713" s="59"/>
      <c r="J713" s="35" t="s">
        <v>8</v>
      </c>
      <c r="K713" s="35" t="s">
        <v>9</v>
      </c>
      <c r="L713" s="35" t="s">
        <v>10</v>
      </c>
    </row>
    <row r="714" spans="1:12" x14ac:dyDescent="0.2">
      <c r="A714" s="52">
        <v>46048</v>
      </c>
      <c r="B714" s="52"/>
      <c r="C714" s="61" t="s">
        <v>363</v>
      </c>
      <c r="D714" s="54"/>
      <c r="E714" s="54"/>
      <c r="F714" s="54"/>
      <c r="G714" s="54"/>
      <c r="H714" s="54"/>
      <c r="I714" s="54"/>
      <c r="J714" s="31">
        <v>1</v>
      </c>
      <c r="K714" s="31"/>
      <c r="L714" s="28"/>
    </row>
    <row r="715" spans="1:12" x14ac:dyDescent="0.2">
      <c r="A715" s="52"/>
      <c r="B715" s="52"/>
      <c r="C715" s="54"/>
      <c r="D715" s="54"/>
      <c r="E715" s="54"/>
      <c r="F715" s="54"/>
      <c r="G715" s="54"/>
      <c r="H715" s="54"/>
      <c r="I715" s="54"/>
      <c r="J715" s="31"/>
      <c r="K715" s="31"/>
      <c r="L715" s="28"/>
    </row>
    <row r="716" spans="1:12" x14ac:dyDescent="0.2">
      <c r="A716" s="52"/>
      <c r="B716" s="52"/>
      <c r="C716" s="54"/>
      <c r="D716" s="54"/>
      <c r="E716" s="54"/>
      <c r="F716" s="54"/>
      <c r="G716" s="54"/>
      <c r="H716" s="54"/>
      <c r="I716" s="54"/>
      <c r="J716" s="31"/>
      <c r="K716" s="31"/>
      <c r="L716" s="28"/>
    </row>
    <row r="717" spans="1:12" x14ac:dyDescent="0.2">
      <c r="A717" s="55" t="s">
        <v>16</v>
      </c>
      <c r="B717" s="56"/>
      <c r="C717" s="56"/>
      <c r="D717" s="56"/>
      <c r="E717" s="56"/>
      <c r="F717" s="56"/>
      <c r="G717" s="56"/>
      <c r="H717" s="56"/>
      <c r="I717" s="57"/>
      <c r="J717" s="36">
        <f t="shared" ref="J717:L717" si="205">SUM(J714:J716)</f>
        <v>1</v>
      </c>
      <c r="K717" s="36">
        <f t="shared" si="205"/>
        <v>0</v>
      </c>
      <c r="L717" s="36">
        <f t="shared" si="205"/>
        <v>0</v>
      </c>
    </row>
    <row r="718" spans="1:12" x14ac:dyDescent="0.2">
      <c r="A718" s="27">
        <v>113</v>
      </c>
      <c r="B718" s="28"/>
      <c r="C718" s="43" t="s">
        <v>282</v>
      </c>
      <c r="D718" s="29" t="s">
        <v>71</v>
      </c>
      <c r="E718" s="30" t="s">
        <v>388</v>
      </c>
      <c r="F718" s="31"/>
      <c r="G718" s="31"/>
      <c r="H718" s="31" t="s">
        <v>14</v>
      </c>
      <c r="I718" s="31">
        <v>1</v>
      </c>
      <c r="J718" s="32">
        <f t="shared" ref="J718:K718" si="206">+J723</f>
        <v>0</v>
      </c>
      <c r="K718" s="33">
        <f t="shared" si="206"/>
        <v>0</v>
      </c>
      <c r="L718" s="38">
        <f>+I718+J718-K718</f>
        <v>1</v>
      </c>
    </row>
    <row r="719" spans="1:12" x14ac:dyDescent="0.2">
      <c r="A719" s="58" t="s">
        <v>15</v>
      </c>
      <c r="B719" s="58"/>
      <c r="C719" s="59" t="s">
        <v>3</v>
      </c>
      <c r="D719" s="59"/>
      <c r="E719" s="59"/>
      <c r="F719" s="59"/>
      <c r="G719" s="59"/>
      <c r="H719" s="59"/>
      <c r="I719" s="59"/>
      <c r="J719" s="35" t="s">
        <v>8</v>
      </c>
      <c r="K719" s="35" t="s">
        <v>9</v>
      </c>
      <c r="L719" s="35" t="s">
        <v>10</v>
      </c>
    </row>
    <row r="720" spans="1:12" x14ac:dyDescent="0.2">
      <c r="A720" s="52"/>
      <c r="B720" s="52"/>
      <c r="C720" s="54"/>
      <c r="D720" s="54"/>
      <c r="E720" s="54"/>
      <c r="F720" s="54"/>
      <c r="G720" s="54"/>
      <c r="H720" s="54"/>
      <c r="I720" s="54"/>
      <c r="J720" s="31"/>
      <c r="K720" s="31"/>
      <c r="L720" s="28"/>
    </row>
    <row r="721" spans="1:12" x14ac:dyDescent="0.2">
      <c r="A721" s="52"/>
      <c r="B721" s="52"/>
      <c r="C721" s="54"/>
      <c r="D721" s="54"/>
      <c r="E721" s="54"/>
      <c r="F721" s="54"/>
      <c r="G721" s="54"/>
      <c r="H721" s="54"/>
      <c r="I721" s="54"/>
      <c r="J721" s="31"/>
      <c r="K721" s="31"/>
      <c r="L721" s="28"/>
    </row>
    <row r="722" spans="1:12" x14ac:dyDescent="0.2">
      <c r="A722" s="52"/>
      <c r="B722" s="52"/>
      <c r="C722" s="54"/>
      <c r="D722" s="54"/>
      <c r="E722" s="54"/>
      <c r="F722" s="54"/>
      <c r="G722" s="54"/>
      <c r="H722" s="54"/>
      <c r="I722" s="54"/>
      <c r="J722" s="31"/>
      <c r="K722" s="31"/>
      <c r="L722" s="28"/>
    </row>
    <row r="723" spans="1:12" x14ac:dyDescent="0.2">
      <c r="A723" s="55" t="s">
        <v>16</v>
      </c>
      <c r="B723" s="56"/>
      <c r="C723" s="56"/>
      <c r="D723" s="56"/>
      <c r="E723" s="56"/>
      <c r="F723" s="56"/>
      <c r="G723" s="56"/>
      <c r="H723" s="56"/>
      <c r="I723" s="57"/>
      <c r="J723" s="36">
        <f t="shared" ref="J723:L723" si="207">SUM(J720:J722)</f>
        <v>0</v>
      </c>
      <c r="K723" s="36">
        <f t="shared" si="207"/>
        <v>0</v>
      </c>
      <c r="L723" s="36">
        <f t="shared" si="207"/>
        <v>0</v>
      </c>
    </row>
    <row r="724" spans="1:12" x14ac:dyDescent="0.2">
      <c r="A724" s="27">
        <v>114</v>
      </c>
      <c r="B724" s="28"/>
      <c r="C724" s="43" t="s">
        <v>282</v>
      </c>
      <c r="D724" s="46" t="s">
        <v>302</v>
      </c>
      <c r="E724" s="30" t="s">
        <v>388</v>
      </c>
      <c r="F724" s="31"/>
      <c r="G724" s="31"/>
      <c r="H724" s="31" t="s">
        <v>14</v>
      </c>
      <c r="I724" s="31">
        <v>0</v>
      </c>
      <c r="J724" s="32">
        <f t="shared" ref="J724:K724" si="208">+J729</f>
        <v>2</v>
      </c>
      <c r="K724" s="33">
        <f t="shared" si="208"/>
        <v>0</v>
      </c>
      <c r="L724" s="37">
        <f>+I724+J724-K724</f>
        <v>2</v>
      </c>
    </row>
    <row r="725" spans="1:12" x14ac:dyDescent="0.2">
      <c r="A725" s="58" t="s">
        <v>15</v>
      </c>
      <c r="B725" s="58"/>
      <c r="C725" s="59" t="s">
        <v>3</v>
      </c>
      <c r="D725" s="59"/>
      <c r="E725" s="59"/>
      <c r="F725" s="59"/>
      <c r="G725" s="59"/>
      <c r="H725" s="59"/>
      <c r="I725" s="59"/>
      <c r="J725" s="35" t="s">
        <v>8</v>
      </c>
      <c r="K725" s="35" t="s">
        <v>9</v>
      </c>
      <c r="L725" s="35" t="s">
        <v>10</v>
      </c>
    </row>
    <row r="726" spans="1:12" x14ac:dyDescent="0.2">
      <c r="A726" s="52">
        <v>46052</v>
      </c>
      <c r="B726" s="52"/>
      <c r="C726" s="61" t="s">
        <v>277</v>
      </c>
      <c r="D726" s="54"/>
      <c r="E726" s="54"/>
      <c r="F726" s="54"/>
      <c r="G726" s="54"/>
      <c r="H726" s="54"/>
      <c r="I726" s="54"/>
      <c r="J726" s="31">
        <v>2</v>
      </c>
      <c r="K726" s="31"/>
      <c r="L726" s="28"/>
    </row>
    <row r="727" spans="1:12" x14ac:dyDescent="0.2">
      <c r="A727" s="52"/>
      <c r="B727" s="52"/>
      <c r="C727" s="54"/>
      <c r="D727" s="54"/>
      <c r="E727" s="54"/>
      <c r="F727" s="54"/>
      <c r="G727" s="54"/>
      <c r="H727" s="54"/>
      <c r="I727" s="54"/>
      <c r="J727" s="31"/>
      <c r="K727" s="31"/>
      <c r="L727" s="28"/>
    </row>
    <row r="728" spans="1:12" x14ac:dyDescent="0.2">
      <c r="A728" s="52"/>
      <c r="B728" s="52"/>
      <c r="C728" s="54"/>
      <c r="D728" s="54"/>
      <c r="E728" s="54"/>
      <c r="F728" s="54"/>
      <c r="G728" s="54"/>
      <c r="H728" s="54"/>
      <c r="I728" s="54"/>
      <c r="J728" s="31"/>
      <c r="K728" s="31"/>
      <c r="L728" s="28"/>
    </row>
    <row r="729" spans="1:12" x14ac:dyDescent="0.2">
      <c r="A729" s="55" t="s">
        <v>16</v>
      </c>
      <c r="B729" s="56"/>
      <c r="C729" s="56"/>
      <c r="D729" s="56"/>
      <c r="E729" s="56"/>
      <c r="F729" s="56"/>
      <c r="G729" s="56"/>
      <c r="H729" s="56"/>
      <c r="I729" s="57"/>
      <c r="J729" s="36">
        <f t="shared" ref="J729:L729" si="209">SUM(J726:J728)</f>
        <v>2</v>
      </c>
      <c r="K729" s="36">
        <f t="shared" si="209"/>
        <v>0</v>
      </c>
      <c r="L729" s="36">
        <f t="shared" si="209"/>
        <v>0</v>
      </c>
    </row>
    <row r="730" spans="1:12" x14ac:dyDescent="0.2">
      <c r="A730" s="27">
        <v>115</v>
      </c>
      <c r="B730" s="28"/>
      <c r="C730" s="28" t="s">
        <v>282</v>
      </c>
      <c r="D730" s="29" t="s">
        <v>300</v>
      </c>
      <c r="E730" s="30" t="s">
        <v>388</v>
      </c>
      <c r="F730" s="31"/>
      <c r="G730" s="31"/>
      <c r="H730" s="31" t="s">
        <v>14</v>
      </c>
      <c r="I730" s="31">
        <v>0</v>
      </c>
      <c r="J730" s="32">
        <f t="shared" ref="J730:K730" si="210">+J735</f>
        <v>2</v>
      </c>
      <c r="K730" s="33">
        <f t="shared" si="210"/>
        <v>0</v>
      </c>
      <c r="L730" s="34">
        <f>+I730+J730-K730</f>
        <v>2</v>
      </c>
    </row>
    <row r="731" spans="1:12" x14ac:dyDescent="0.2">
      <c r="A731" s="58" t="s">
        <v>15</v>
      </c>
      <c r="B731" s="58"/>
      <c r="C731" s="59" t="s">
        <v>3</v>
      </c>
      <c r="D731" s="59"/>
      <c r="E731" s="59"/>
      <c r="F731" s="59"/>
      <c r="G731" s="59"/>
      <c r="H731" s="59"/>
      <c r="I731" s="59"/>
      <c r="J731" s="35" t="s">
        <v>8</v>
      </c>
      <c r="K731" s="35" t="s">
        <v>9</v>
      </c>
      <c r="L731" s="35" t="s">
        <v>10</v>
      </c>
    </row>
    <row r="732" spans="1:12" x14ac:dyDescent="0.2">
      <c r="A732" s="52">
        <v>46052</v>
      </c>
      <c r="B732" s="52"/>
      <c r="C732" s="54" t="s">
        <v>277</v>
      </c>
      <c r="D732" s="54"/>
      <c r="E732" s="54"/>
      <c r="F732" s="54"/>
      <c r="G732" s="54"/>
      <c r="H732" s="54"/>
      <c r="I732" s="54"/>
      <c r="J732" s="31">
        <v>2</v>
      </c>
      <c r="K732" s="31"/>
      <c r="L732" s="28"/>
    </row>
    <row r="733" spans="1:12" x14ac:dyDescent="0.2">
      <c r="A733" s="52"/>
      <c r="B733" s="52"/>
      <c r="C733" s="54"/>
      <c r="D733" s="54"/>
      <c r="E733" s="54"/>
      <c r="F733" s="54"/>
      <c r="G733" s="54"/>
      <c r="H733" s="54"/>
      <c r="I733" s="54"/>
      <c r="J733" s="31"/>
      <c r="K733" s="31"/>
      <c r="L733" s="28"/>
    </row>
    <row r="734" spans="1:12" x14ac:dyDescent="0.2">
      <c r="A734" s="52"/>
      <c r="B734" s="52"/>
      <c r="C734" s="54"/>
      <c r="D734" s="54"/>
      <c r="E734" s="54"/>
      <c r="F734" s="54"/>
      <c r="G734" s="54"/>
      <c r="H734" s="54"/>
      <c r="I734" s="54"/>
      <c r="J734" s="31"/>
      <c r="K734" s="31"/>
      <c r="L734" s="28"/>
    </row>
    <row r="735" spans="1:12" x14ac:dyDescent="0.2">
      <c r="A735" s="55" t="s">
        <v>16</v>
      </c>
      <c r="B735" s="56"/>
      <c r="C735" s="56"/>
      <c r="D735" s="56"/>
      <c r="E735" s="56"/>
      <c r="F735" s="56"/>
      <c r="G735" s="56"/>
      <c r="H735" s="56"/>
      <c r="I735" s="57"/>
      <c r="J735" s="36">
        <f t="shared" ref="J735:L735" si="211">SUM(J732:J734)</f>
        <v>2</v>
      </c>
      <c r="K735" s="36">
        <f t="shared" si="211"/>
        <v>0</v>
      </c>
      <c r="L735" s="36">
        <f t="shared" si="211"/>
        <v>0</v>
      </c>
    </row>
    <row r="736" spans="1:12" x14ac:dyDescent="0.2">
      <c r="A736" s="27">
        <v>116</v>
      </c>
      <c r="B736" s="28"/>
      <c r="C736" s="28" t="s">
        <v>282</v>
      </c>
      <c r="D736" s="29" t="s">
        <v>301</v>
      </c>
      <c r="E736" s="30" t="s">
        <v>388</v>
      </c>
      <c r="F736" s="31"/>
      <c r="G736" s="31"/>
      <c r="H736" s="31" t="s">
        <v>14</v>
      </c>
      <c r="I736" s="31">
        <v>2</v>
      </c>
      <c r="J736" s="32">
        <f t="shared" ref="J736:K736" si="212">+J741</f>
        <v>0</v>
      </c>
      <c r="K736" s="33">
        <f t="shared" si="212"/>
        <v>0</v>
      </c>
      <c r="L736" s="37">
        <f>+I736+J736-K736</f>
        <v>2</v>
      </c>
    </row>
    <row r="737" spans="1:12" x14ac:dyDescent="0.2">
      <c r="A737" s="58" t="s">
        <v>15</v>
      </c>
      <c r="B737" s="58"/>
      <c r="C737" s="59" t="s">
        <v>3</v>
      </c>
      <c r="D737" s="59"/>
      <c r="E737" s="59"/>
      <c r="F737" s="59"/>
      <c r="G737" s="59"/>
      <c r="H737" s="59"/>
      <c r="I737" s="59"/>
      <c r="J737" s="35" t="s">
        <v>8</v>
      </c>
      <c r="K737" s="35" t="s">
        <v>9</v>
      </c>
      <c r="L737" s="35" t="s">
        <v>10</v>
      </c>
    </row>
    <row r="738" spans="1:12" x14ac:dyDescent="0.2">
      <c r="A738" s="52"/>
      <c r="B738" s="52"/>
      <c r="C738" s="54"/>
      <c r="D738" s="54"/>
      <c r="E738" s="54"/>
      <c r="F738" s="54"/>
      <c r="G738" s="54"/>
      <c r="H738" s="54"/>
      <c r="I738" s="54"/>
      <c r="J738" s="31"/>
      <c r="K738" s="31"/>
      <c r="L738" s="28"/>
    </row>
    <row r="739" spans="1:12" x14ac:dyDescent="0.2">
      <c r="A739" s="52"/>
      <c r="B739" s="52"/>
      <c r="C739" s="54"/>
      <c r="D739" s="54"/>
      <c r="E739" s="54"/>
      <c r="F739" s="54"/>
      <c r="G739" s="54"/>
      <c r="H739" s="54"/>
      <c r="I739" s="54"/>
      <c r="J739" s="31"/>
      <c r="K739" s="31"/>
      <c r="L739" s="28"/>
    </row>
    <row r="740" spans="1:12" x14ac:dyDescent="0.2">
      <c r="A740" s="52"/>
      <c r="B740" s="52"/>
      <c r="C740" s="54"/>
      <c r="D740" s="54"/>
      <c r="E740" s="54"/>
      <c r="F740" s="54"/>
      <c r="G740" s="54"/>
      <c r="H740" s="54"/>
      <c r="I740" s="54"/>
      <c r="J740" s="31"/>
      <c r="K740" s="31"/>
      <c r="L740" s="28"/>
    </row>
    <row r="741" spans="1:12" x14ac:dyDescent="0.2">
      <c r="A741" s="55" t="s">
        <v>16</v>
      </c>
      <c r="B741" s="56"/>
      <c r="C741" s="56"/>
      <c r="D741" s="56"/>
      <c r="E741" s="56"/>
      <c r="F741" s="56"/>
      <c r="G741" s="56"/>
      <c r="H741" s="56"/>
      <c r="I741" s="57"/>
      <c r="J741" s="36">
        <f t="shared" ref="J741:L741" si="213">SUM(J738:J740)</f>
        <v>0</v>
      </c>
      <c r="K741" s="36">
        <f t="shared" si="213"/>
        <v>0</v>
      </c>
      <c r="L741" s="36">
        <f t="shared" si="213"/>
        <v>0</v>
      </c>
    </row>
    <row r="742" spans="1:12" x14ac:dyDescent="0.2">
      <c r="A742" s="27">
        <v>117</v>
      </c>
      <c r="B742" s="28"/>
      <c r="C742" s="28" t="s">
        <v>282</v>
      </c>
      <c r="D742" s="29" t="s">
        <v>299</v>
      </c>
      <c r="E742" s="30" t="s">
        <v>388</v>
      </c>
      <c r="F742" s="31"/>
      <c r="G742" s="31"/>
      <c r="H742" s="31" t="s">
        <v>14</v>
      </c>
      <c r="I742" s="31">
        <v>0</v>
      </c>
      <c r="J742" s="32">
        <f t="shared" ref="J742:K742" si="214">+J747</f>
        <v>1</v>
      </c>
      <c r="K742" s="33">
        <f t="shared" si="214"/>
        <v>0</v>
      </c>
      <c r="L742" s="37">
        <f>+I742+J742-K742</f>
        <v>1</v>
      </c>
    </row>
    <row r="743" spans="1:12" x14ac:dyDescent="0.2">
      <c r="A743" s="58" t="s">
        <v>15</v>
      </c>
      <c r="B743" s="58"/>
      <c r="C743" s="59" t="s">
        <v>3</v>
      </c>
      <c r="D743" s="59"/>
      <c r="E743" s="59"/>
      <c r="F743" s="59"/>
      <c r="G743" s="59"/>
      <c r="H743" s="59"/>
      <c r="I743" s="59"/>
      <c r="J743" s="35" t="s">
        <v>8</v>
      </c>
      <c r="K743" s="35" t="s">
        <v>9</v>
      </c>
      <c r="L743" s="35" t="s">
        <v>10</v>
      </c>
    </row>
    <row r="744" spans="1:12" x14ac:dyDescent="0.2">
      <c r="A744" s="52">
        <v>46052</v>
      </c>
      <c r="B744" s="52"/>
      <c r="C744" s="54" t="s">
        <v>277</v>
      </c>
      <c r="D744" s="54"/>
      <c r="E744" s="54"/>
      <c r="F744" s="54"/>
      <c r="G744" s="54"/>
      <c r="H744" s="54"/>
      <c r="I744" s="54"/>
      <c r="J744" s="31">
        <v>1</v>
      </c>
      <c r="K744" s="31"/>
      <c r="L744" s="28"/>
    </row>
    <row r="745" spans="1:12" x14ac:dyDescent="0.2">
      <c r="A745" s="52"/>
      <c r="B745" s="52"/>
      <c r="C745" s="54"/>
      <c r="D745" s="54"/>
      <c r="E745" s="54"/>
      <c r="F745" s="54"/>
      <c r="G745" s="54"/>
      <c r="H745" s="54"/>
      <c r="I745" s="54"/>
      <c r="J745" s="31"/>
      <c r="K745" s="31"/>
      <c r="L745" s="28"/>
    </row>
    <row r="746" spans="1:12" x14ac:dyDescent="0.2">
      <c r="A746" s="52"/>
      <c r="B746" s="52"/>
      <c r="C746" s="54"/>
      <c r="D746" s="54"/>
      <c r="E746" s="54"/>
      <c r="F746" s="54"/>
      <c r="G746" s="54"/>
      <c r="H746" s="54"/>
      <c r="I746" s="54"/>
      <c r="J746" s="31"/>
      <c r="K746" s="31"/>
      <c r="L746" s="28"/>
    </row>
    <row r="747" spans="1:12" x14ac:dyDescent="0.2">
      <c r="A747" s="55" t="s">
        <v>16</v>
      </c>
      <c r="B747" s="56"/>
      <c r="C747" s="56"/>
      <c r="D747" s="56"/>
      <c r="E747" s="56"/>
      <c r="F747" s="56"/>
      <c r="G747" s="56"/>
      <c r="H747" s="56"/>
      <c r="I747" s="57"/>
      <c r="J747" s="36">
        <f t="shared" ref="J747:L747" si="215">SUM(J744:J746)</f>
        <v>1</v>
      </c>
      <c r="K747" s="36">
        <f t="shared" si="215"/>
        <v>0</v>
      </c>
      <c r="L747" s="36">
        <f t="shared" si="215"/>
        <v>0</v>
      </c>
    </row>
    <row r="748" spans="1:12" x14ac:dyDescent="0.2">
      <c r="A748" s="27">
        <v>118</v>
      </c>
      <c r="B748" s="28"/>
      <c r="C748" s="43" t="s">
        <v>282</v>
      </c>
      <c r="D748" s="46" t="s">
        <v>393</v>
      </c>
      <c r="E748" s="30" t="s">
        <v>388</v>
      </c>
      <c r="F748" s="31"/>
      <c r="G748" s="31"/>
      <c r="H748" s="31" t="s">
        <v>14</v>
      </c>
      <c r="I748" s="31">
        <v>1</v>
      </c>
      <c r="J748" s="32">
        <f t="shared" ref="J748:K748" si="216">+J753</f>
        <v>0</v>
      </c>
      <c r="K748" s="33">
        <f t="shared" si="216"/>
        <v>0</v>
      </c>
      <c r="L748" s="38">
        <f>+I748+J748-K748</f>
        <v>1</v>
      </c>
    </row>
    <row r="749" spans="1:12" x14ac:dyDescent="0.2">
      <c r="A749" s="58" t="s">
        <v>15</v>
      </c>
      <c r="B749" s="58"/>
      <c r="C749" s="59" t="s">
        <v>3</v>
      </c>
      <c r="D749" s="59"/>
      <c r="E749" s="59"/>
      <c r="F749" s="59"/>
      <c r="G749" s="59"/>
      <c r="H749" s="59"/>
      <c r="I749" s="59"/>
      <c r="J749" s="35" t="s">
        <v>8</v>
      </c>
      <c r="K749" s="35" t="s">
        <v>9</v>
      </c>
      <c r="L749" s="35" t="s">
        <v>10</v>
      </c>
    </row>
    <row r="750" spans="1:12" x14ac:dyDescent="0.2">
      <c r="A750" s="52"/>
      <c r="B750" s="52"/>
      <c r="C750" s="54"/>
      <c r="D750" s="54"/>
      <c r="E750" s="54"/>
      <c r="F750" s="54"/>
      <c r="G750" s="54"/>
      <c r="H750" s="54"/>
      <c r="I750" s="54"/>
      <c r="J750" s="31"/>
      <c r="K750" s="31"/>
      <c r="L750" s="28"/>
    </row>
    <row r="751" spans="1:12" x14ac:dyDescent="0.2">
      <c r="A751" s="52"/>
      <c r="B751" s="52"/>
      <c r="C751" s="54"/>
      <c r="D751" s="54"/>
      <c r="E751" s="54"/>
      <c r="F751" s="54"/>
      <c r="G751" s="54"/>
      <c r="H751" s="54"/>
      <c r="I751" s="54"/>
      <c r="J751" s="31"/>
      <c r="K751" s="31"/>
      <c r="L751" s="28"/>
    </row>
    <row r="752" spans="1:12" x14ac:dyDescent="0.2">
      <c r="A752" s="52"/>
      <c r="B752" s="52"/>
      <c r="C752" s="54"/>
      <c r="D752" s="54"/>
      <c r="E752" s="54"/>
      <c r="F752" s="54"/>
      <c r="G752" s="54"/>
      <c r="H752" s="54"/>
      <c r="I752" s="54"/>
      <c r="J752" s="31"/>
      <c r="K752" s="31"/>
      <c r="L752" s="28"/>
    </row>
    <row r="753" spans="1:12" x14ac:dyDescent="0.2">
      <c r="A753" s="55" t="s">
        <v>16</v>
      </c>
      <c r="B753" s="56"/>
      <c r="C753" s="56"/>
      <c r="D753" s="56"/>
      <c r="E753" s="56"/>
      <c r="F753" s="56"/>
      <c r="G753" s="56"/>
      <c r="H753" s="56"/>
      <c r="I753" s="57"/>
      <c r="J753" s="36">
        <f t="shared" ref="J753:L753" si="217">SUM(J750:J752)</f>
        <v>0</v>
      </c>
      <c r="K753" s="36">
        <f t="shared" si="217"/>
        <v>0</v>
      </c>
      <c r="L753" s="36">
        <f t="shared" si="217"/>
        <v>0</v>
      </c>
    </row>
    <row r="754" spans="1:12" x14ac:dyDescent="0.2">
      <c r="A754" s="27">
        <v>119</v>
      </c>
      <c r="B754" s="28"/>
      <c r="C754" s="28" t="s">
        <v>282</v>
      </c>
      <c r="D754" s="29" t="s">
        <v>312</v>
      </c>
      <c r="E754" s="30" t="s">
        <v>388</v>
      </c>
      <c r="F754" s="31"/>
      <c r="G754" s="31"/>
      <c r="H754" s="31" t="s">
        <v>14</v>
      </c>
      <c r="I754" s="31">
        <v>0</v>
      </c>
      <c r="J754" s="32">
        <f t="shared" ref="J754:K754" si="218">+J759</f>
        <v>1</v>
      </c>
      <c r="K754" s="33">
        <f t="shared" si="218"/>
        <v>0</v>
      </c>
      <c r="L754" s="37">
        <f>+I754+J754-K754</f>
        <v>1</v>
      </c>
    </row>
    <row r="755" spans="1:12" x14ac:dyDescent="0.2">
      <c r="A755" s="58" t="s">
        <v>15</v>
      </c>
      <c r="B755" s="58"/>
      <c r="C755" s="59" t="s">
        <v>3</v>
      </c>
      <c r="D755" s="59"/>
      <c r="E755" s="59"/>
      <c r="F755" s="59"/>
      <c r="G755" s="59"/>
      <c r="H755" s="59"/>
      <c r="I755" s="59"/>
      <c r="J755" s="35" t="s">
        <v>8</v>
      </c>
      <c r="K755" s="35" t="s">
        <v>9</v>
      </c>
      <c r="L755" s="35" t="s">
        <v>10</v>
      </c>
    </row>
    <row r="756" spans="1:12" x14ac:dyDescent="0.2">
      <c r="A756" s="52">
        <v>46052</v>
      </c>
      <c r="B756" s="52"/>
      <c r="C756" s="54" t="s">
        <v>277</v>
      </c>
      <c r="D756" s="54"/>
      <c r="E756" s="54"/>
      <c r="F756" s="54"/>
      <c r="G756" s="54"/>
      <c r="H756" s="54"/>
      <c r="I756" s="54"/>
      <c r="J756" s="31">
        <v>1</v>
      </c>
      <c r="K756" s="31"/>
      <c r="L756" s="28"/>
    </row>
    <row r="757" spans="1:12" x14ac:dyDescent="0.2">
      <c r="A757" s="52"/>
      <c r="B757" s="52"/>
      <c r="C757" s="54"/>
      <c r="D757" s="54"/>
      <c r="E757" s="54"/>
      <c r="F757" s="54"/>
      <c r="G757" s="54"/>
      <c r="H757" s="54"/>
      <c r="I757" s="54"/>
      <c r="J757" s="31"/>
      <c r="K757" s="31"/>
      <c r="L757" s="28"/>
    </row>
    <row r="758" spans="1:12" x14ac:dyDescent="0.2">
      <c r="A758" s="52"/>
      <c r="B758" s="52"/>
      <c r="C758" s="54"/>
      <c r="D758" s="54"/>
      <c r="E758" s="54"/>
      <c r="F758" s="54"/>
      <c r="G758" s="54"/>
      <c r="H758" s="54"/>
      <c r="I758" s="54"/>
      <c r="J758" s="31"/>
      <c r="K758" s="31"/>
      <c r="L758" s="28"/>
    </row>
    <row r="759" spans="1:12" x14ac:dyDescent="0.2">
      <c r="A759" s="55" t="s">
        <v>16</v>
      </c>
      <c r="B759" s="56"/>
      <c r="C759" s="56"/>
      <c r="D759" s="56"/>
      <c r="E759" s="56"/>
      <c r="F759" s="56"/>
      <c r="G759" s="56"/>
      <c r="H759" s="56"/>
      <c r="I759" s="57"/>
      <c r="J759" s="36">
        <f t="shared" ref="J759:L759" si="219">SUM(J756:J758)</f>
        <v>1</v>
      </c>
      <c r="K759" s="36">
        <f t="shared" si="219"/>
        <v>0</v>
      </c>
      <c r="L759" s="36">
        <f t="shared" si="219"/>
        <v>0</v>
      </c>
    </row>
    <row r="760" spans="1:12" x14ac:dyDescent="0.2">
      <c r="A760" s="27">
        <v>120</v>
      </c>
      <c r="B760" s="28"/>
      <c r="C760" s="28" t="s">
        <v>282</v>
      </c>
      <c r="D760" s="29" t="s">
        <v>313</v>
      </c>
      <c r="E760" s="30" t="s">
        <v>388</v>
      </c>
      <c r="F760" s="31"/>
      <c r="G760" s="31"/>
      <c r="H760" s="31" t="s">
        <v>14</v>
      </c>
      <c r="I760" s="31">
        <v>0</v>
      </c>
      <c r="J760" s="32">
        <f t="shared" ref="J760:K760" si="220">+J765</f>
        <v>2</v>
      </c>
      <c r="K760" s="33">
        <f t="shared" si="220"/>
        <v>0</v>
      </c>
      <c r="L760" s="34">
        <f>+I760+J760-K760</f>
        <v>2</v>
      </c>
    </row>
    <row r="761" spans="1:12" x14ac:dyDescent="0.2">
      <c r="A761" s="58" t="s">
        <v>15</v>
      </c>
      <c r="B761" s="58"/>
      <c r="C761" s="59" t="s">
        <v>3</v>
      </c>
      <c r="D761" s="59"/>
      <c r="E761" s="59"/>
      <c r="F761" s="59"/>
      <c r="G761" s="59"/>
      <c r="H761" s="59"/>
      <c r="I761" s="59"/>
      <c r="J761" s="35" t="s">
        <v>8</v>
      </c>
      <c r="K761" s="35" t="s">
        <v>9</v>
      </c>
      <c r="L761" s="35" t="s">
        <v>10</v>
      </c>
    </row>
    <row r="762" spans="1:12" x14ac:dyDescent="0.2">
      <c r="A762" s="52">
        <v>46052</v>
      </c>
      <c r="B762" s="52"/>
      <c r="C762" s="54" t="s">
        <v>277</v>
      </c>
      <c r="D762" s="54"/>
      <c r="E762" s="54"/>
      <c r="F762" s="54"/>
      <c r="G762" s="54"/>
      <c r="H762" s="54"/>
      <c r="I762" s="54"/>
      <c r="J762" s="31">
        <v>1</v>
      </c>
      <c r="K762" s="31"/>
      <c r="L762" s="28"/>
    </row>
    <row r="763" spans="1:12" x14ac:dyDescent="0.2">
      <c r="A763" s="52">
        <v>46107</v>
      </c>
      <c r="B763" s="52"/>
      <c r="C763" s="61" t="s">
        <v>363</v>
      </c>
      <c r="D763" s="54"/>
      <c r="E763" s="54"/>
      <c r="F763" s="54"/>
      <c r="G763" s="54"/>
      <c r="H763" s="54"/>
      <c r="I763" s="54"/>
      <c r="J763" s="31">
        <v>1</v>
      </c>
      <c r="K763" s="31"/>
      <c r="L763" s="28"/>
    </row>
    <row r="764" spans="1:12" x14ac:dyDescent="0.2">
      <c r="A764" s="52"/>
      <c r="B764" s="52"/>
      <c r="C764" s="54"/>
      <c r="D764" s="54"/>
      <c r="E764" s="54"/>
      <c r="F764" s="54"/>
      <c r="G764" s="54"/>
      <c r="H764" s="54"/>
      <c r="I764" s="54"/>
      <c r="J764" s="31"/>
      <c r="K764" s="31"/>
      <c r="L764" s="28"/>
    </row>
    <row r="765" spans="1:12" x14ac:dyDescent="0.2">
      <c r="A765" s="55" t="s">
        <v>16</v>
      </c>
      <c r="B765" s="56"/>
      <c r="C765" s="56"/>
      <c r="D765" s="56"/>
      <c r="E765" s="56"/>
      <c r="F765" s="56"/>
      <c r="G765" s="56"/>
      <c r="H765" s="56"/>
      <c r="I765" s="57"/>
      <c r="J765" s="36">
        <f t="shared" ref="J765:L765" si="221">SUM(J762:J764)</f>
        <v>2</v>
      </c>
      <c r="K765" s="36">
        <f t="shared" si="221"/>
        <v>0</v>
      </c>
      <c r="L765" s="36">
        <f t="shared" si="221"/>
        <v>0</v>
      </c>
    </row>
    <row r="766" spans="1:12" x14ac:dyDescent="0.2">
      <c r="A766" s="27">
        <v>121</v>
      </c>
      <c r="B766" s="28"/>
      <c r="C766" s="28" t="s">
        <v>282</v>
      </c>
      <c r="D766" s="29" t="s">
        <v>314</v>
      </c>
      <c r="E766" s="30" t="s">
        <v>388</v>
      </c>
      <c r="F766" s="31"/>
      <c r="G766" s="31"/>
      <c r="H766" s="31" t="s">
        <v>14</v>
      </c>
      <c r="I766" s="31">
        <v>0</v>
      </c>
      <c r="J766" s="32">
        <f t="shared" ref="J766:K766" si="222">+J771</f>
        <v>1</v>
      </c>
      <c r="K766" s="33">
        <f t="shared" si="222"/>
        <v>0</v>
      </c>
      <c r="L766" s="37">
        <f>+I766+J766-K766</f>
        <v>1</v>
      </c>
    </row>
    <row r="767" spans="1:12" x14ac:dyDescent="0.2">
      <c r="A767" s="58" t="s">
        <v>15</v>
      </c>
      <c r="B767" s="58"/>
      <c r="C767" s="59" t="s">
        <v>3</v>
      </c>
      <c r="D767" s="59"/>
      <c r="E767" s="59"/>
      <c r="F767" s="59"/>
      <c r="G767" s="59"/>
      <c r="H767" s="59"/>
      <c r="I767" s="59"/>
      <c r="J767" s="35" t="s">
        <v>8</v>
      </c>
      <c r="K767" s="35" t="s">
        <v>9</v>
      </c>
      <c r="L767" s="35" t="s">
        <v>10</v>
      </c>
    </row>
    <row r="768" spans="1:12" x14ac:dyDescent="0.2">
      <c r="A768" s="52">
        <v>46052</v>
      </c>
      <c r="B768" s="52"/>
      <c r="C768" s="54" t="s">
        <v>277</v>
      </c>
      <c r="D768" s="54"/>
      <c r="E768" s="54"/>
      <c r="F768" s="54"/>
      <c r="G768" s="54"/>
      <c r="H768" s="54"/>
      <c r="I768" s="54"/>
      <c r="J768" s="31">
        <v>1</v>
      </c>
      <c r="K768" s="31"/>
      <c r="L768" s="28"/>
    </row>
    <row r="769" spans="1:12" x14ac:dyDescent="0.2">
      <c r="A769" s="52"/>
      <c r="B769" s="52"/>
      <c r="C769" s="54"/>
      <c r="D769" s="54"/>
      <c r="E769" s="54"/>
      <c r="F769" s="54"/>
      <c r="G769" s="54"/>
      <c r="H769" s="54"/>
      <c r="I769" s="54"/>
      <c r="J769" s="31"/>
      <c r="K769" s="31"/>
      <c r="L769" s="28"/>
    </row>
    <row r="770" spans="1:12" x14ac:dyDescent="0.2">
      <c r="A770" s="52"/>
      <c r="B770" s="52"/>
      <c r="C770" s="54"/>
      <c r="D770" s="54"/>
      <c r="E770" s="54"/>
      <c r="F770" s="54"/>
      <c r="G770" s="54"/>
      <c r="H770" s="54"/>
      <c r="I770" s="54"/>
      <c r="J770" s="31"/>
      <c r="K770" s="31"/>
      <c r="L770" s="28"/>
    </row>
    <row r="771" spans="1:12" x14ac:dyDescent="0.2">
      <c r="A771" s="55" t="s">
        <v>16</v>
      </c>
      <c r="B771" s="56"/>
      <c r="C771" s="56"/>
      <c r="D771" s="56"/>
      <c r="E771" s="56"/>
      <c r="F771" s="56"/>
      <c r="G771" s="56"/>
      <c r="H771" s="56"/>
      <c r="I771" s="57"/>
      <c r="J771" s="36">
        <f t="shared" ref="J771:L771" si="223">SUM(J768:J770)</f>
        <v>1</v>
      </c>
      <c r="K771" s="36">
        <f t="shared" si="223"/>
        <v>0</v>
      </c>
      <c r="L771" s="36">
        <f t="shared" si="223"/>
        <v>0</v>
      </c>
    </row>
    <row r="772" spans="1:12" x14ac:dyDescent="0.2">
      <c r="A772" s="27">
        <v>122</v>
      </c>
      <c r="B772" s="28"/>
      <c r="C772" s="28" t="s">
        <v>282</v>
      </c>
      <c r="D772" s="29" t="s">
        <v>315</v>
      </c>
      <c r="E772" s="30" t="s">
        <v>388</v>
      </c>
      <c r="F772" s="31"/>
      <c r="G772" s="31"/>
      <c r="H772" s="31" t="s">
        <v>14</v>
      </c>
      <c r="I772" s="31">
        <v>0</v>
      </c>
      <c r="J772" s="32">
        <f t="shared" ref="J772:K772" si="224">+J777</f>
        <v>1</v>
      </c>
      <c r="K772" s="33">
        <f t="shared" si="224"/>
        <v>0</v>
      </c>
      <c r="L772" s="34">
        <f>+I772+J772-K772</f>
        <v>1</v>
      </c>
    </row>
    <row r="773" spans="1:12" x14ac:dyDescent="0.2">
      <c r="A773" s="58" t="s">
        <v>15</v>
      </c>
      <c r="B773" s="58"/>
      <c r="C773" s="59" t="s">
        <v>3</v>
      </c>
      <c r="D773" s="59"/>
      <c r="E773" s="59"/>
      <c r="F773" s="59"/>
      <c r="G773" s="59"/>
      <c r="H773" s="59"/>
      <c r="I773" s="59"/>
      <c r="J773" s="35" t="s">
        <v>8</v>
      </c>
      <c r="K773" s="35" t="s">
        <v>9</v>
      </c>
      <c r="L773" s="35" t="s">
        <v>10</v>
      </c>
    </row>
    <row r="774" spans="1:12" x14ac:dyDescent="0.2">
      <c r="A774" s="52">
        <v>46052</v>
      </c>
      <c r="B774" s="52"/>
      <c r="C774" s="54" t="s">
        <v>277</v>
      </c>
      <c r="D774" s="54"/>
      <c r="E774" s="54"/>
      <c r="F774" s="54"/>
      <c r="G774" s="54"/>
      <c r="H774" s="54"/>
      <c r="I774" s="54"/>
      <c r="J774" s="31">
        <v>1</v>
      </c>
      <c r="K774" s="31"/>
      <c r="L774" s="28"/>
    </row>
    <row r="775" spans="1:12" x14ac:dyDescent="0.2">
      <c r="A775" s="52"/>
      <c r="B775" s="52"/>
      <c r="C775" s="54"/>
      <c r="D775" s="54"/>
      <c r="E775" s="54"/>
      <c r="F775" s="54"/>
      <c r="G775" s="54"/>
      <c r="H775" s="54"/>
      <c r="I775" s="54"/>
      <c r="J775" s="31"/>
      <c r="K775" s="31"/>
      <c r="L775" s="28"/>
    </row>
    <row r="776" spans="1:12" x14ac:dyDescent="0.2">
      <c r="A776" s="52"/>
      <c r="B776" s="52"/>
      <c r="C776" s="54"/>
      <c r="D776" s="54"/>
      <c r="E776" s="54"/>
      <c r="F776" s="54"/>
      <c r="G776" s="54"/>
      <c r="H776" s="54"/>
      <c r="I776" s="54"/>
      <c r="J776" s="31"/>
      <c r="K776" s="31"/>
      <c r="L776" s="28"/>
    </row>
    <row r="777" spans="1:12" x14ac:dyDescent="0.2">
      <c r="A777" s="55" t="s">
        <v>16</v>
      </c>
      <c r="B777" s="56"/>
      <c r="C777" s="56"/>
      <c r="D777" s="56"/>
      <c r="E777" s="56"/>
      <c r="F777" s="56"/>
      <c r="G777" s="56"/>
      <c r="H777" s="56"/>
      <c r="I777" s="57"/>
      <c r="J777" s="36">
        <f t="shared" ref="J777:L777" si="225">SUM(J774:J776)</f>
        <v>1</v>
      </c>
      <c r="K777" s="36">
        <f t="shared" si="225"/>
        <v>0</v>
      </c>
      <c r="L777" s="36">
        <f t="shared" si="225"/>
        <v>0</v>
      </c>
    </row>
    <row r="778" spans="1:12" x14ac:dyDescent="0.2">
      <c r="A778" s="27">
        <v>123</v>
      </c>
      <c r="B778" s="28"/>
      <c r="C778" s="43" t="s">
        <v>282</v>
      </c>
      <c r="D778" s="29" t="s">
        <v>84</v>
      </c>
      <c r="E778" s="30" t="s">
        <v>388</v>
      </c>
      <c r="F778" s="31"/>
      <c r="G778" s="31"/>
      <c r="H778" s="31" t="s">
        <v>14</v>
      </c>
      <c r="I778" s="31">
        <v>1</v>
      </c>
      <c r="J778" s="32">
        <f t="shared" ref="J778:K778" si="226">+J783</f>
        <v>1</v>
      </c>
      <c r="K778" s="33">
        <f t="shared" si="226"/>
        <v>0</v>
      </c>
      <c r="L778" s="37">
        <f>+I778+J778-K778</f>
        <v>2</v>
      </c>
    </row>
    <row r="779" spans="1:12" x14ac:dyDescent="0.2">
      <c r="A779" s="58" t="s">
        <v>15</v>
      </c>
      <c r="B779" s="58"/>
      <c r="C779" s="59" t="s">
        <v>3</v>
      </c>
      <c r="D779" s="59"/>
      <c r="E779" s="59"/>
      <c r="F779" s="59"/>
      <c r="G779" s="59"/>
      <c r="H779" s="59"/>
      <c r="I779" s="59"/>
      <c r="J779" s="35" t="s">
        <v>8</v>
      </c>
      <c r="K779" s="35" t="s">
        <v>9</v>
      </c>
      <c r="L779" s="35" t="s">
        <v>10</v>
      </c>
    </row>
    <row r="780" spans="1:12" x14ac:dyDescent="0.2">
      <c r="A780" s="52">
        <v>46052</v>
      </c>
      <c r="B780" s="52"/>
      <c r="C780" s="54" t="s">
        <v>277</v>
      </c>
      <c r="D780" s="54"/>
      <c r="E780" s="54"/>
      <c r="F780" s="54"/>
      <c r="G780" s="54"/>
      <c r="H780" s="54"/>
      <c r="I780" s="54"/>
      <c r="J780" s="31">
        <v>1</v>
      </c>
      <c r="K780" s="31"/>
      <c r="L780" s="28"/>
    </row>
    <row r="781" spans="1:12" x14ac:dyDescent="0.2">
      <c r="A781" s="52"/>
      <c r="B781" s="52"/>
      <c r="C781" s="54"/>
      <c r="D781" s="54"/>
      <c r="E781" s="54"/>
      <c r="F781" s="54"/>
      <c r="G781" s="54"/>
      <c r="H781" s="54"/>
      <c r="I781" s="54"/>
      <c r="J781" s="31"/>
      <c r="K781" s="31"/>
      <c r="L781" s="28"/>
    </row>
    <row r="782" spans="1:12" x14ac:dyDescent="0.2">
      <c r="A782" s="52"/>
      <c r="B782" s="52"/>
      <c r="C782" s="54"/>
      <c r="D782" s="54"/>
      <c r="E782" s="54"/>
      <c r="F782" s="54"/>
      <c r="G782" s="54"/>
      <c r="H782" s="54"/>
      <c r="I782" s="54"/>
      <c r="J782" s="31"/>
      <c r="K782" s="31"/>
      <c r="L782" s="28"/>
    </row>
    <row r="783" spans="1:12" x14ac:dyDescent="0.2">
      <c r="A783" s="55" t="s">
        <v>16</v>
      </c>
      <c r="B783" s="56"/>
      <c r="C783" s="56"/>
      <c r="D783" s="56"/>
      <c r="E783" s="56"/>
      <c r="F783" s="56"/>
      <c r="G783" s="56"/>
      <c r="H783" s="56"/>
      <c r="I783" s="57"/>
      <c r="J783" s="36">
        <f t="shared" ref="J783:L783" si="227">SUM(J780:J782)</f>
        <v>1</v>
      </c>
      <c r="K783" s="36">
        <f t="shared" si="227"/>
        <v>0</v>
      </c>
      <c r="L783" s="36">
        <f t="shared" si="227"/>
        <v>0</v>
      </c>
    </row>
    <row r="784" spans="1:12" x14ac:dyDescent="0.2">
      <c r="A784" s="27">
        <v>124</v>
      </c>
      <c r="B784" s="28"/>
      <c r="C784" s="43" t="s">
        <v>282</v>
      </c>
      <c r="D784" s="29" t="s">
        <v>87</v>
      </c>
      <c r="E784" s="30" t="s">
        <v>388</v>
      </c>
      <c r="F784" s="31"/>
      <c r="G784" s="31"/>
      <c r="H784" s="31" t="s">
        <v>14</v>
      </c>
      <c r="I784" s="31">
        <v>4</v>
      </c>
      <c r="J784" s="32">
        <f t="shared" ref="J784:K784" si="228">+J789</f>
        <v>0</v>
      </c>
      <c r="K784" s="33">
        <f t="shared" si="228"/>
        <v>1</v>
      </c>
      <c r="L784" s="38">
        <f>+I784+J784-K784</f>
        <v>3</v>
      </c>
    </row>
    <row r="785" spans="1:12" x14ac:dyDescent="0.2">
      <c r="A785" s="58" t="s">
        <v>15</v>
      </c>
      <c r="B785" s="58"/>
      <c r="C785" s="59" t="s">
        <v>3</v>
      </c>
      <c r="D785" s="59"/>
      <c r="E785" s="59"/>
      <c r="F785" s="59"/>
      <c r="G785" s="59"/>
      <c r="H785" s="59"/>
      <c r="I785" s="59"/>
      <c r="J785" s="35" t="s">
        <v>8</v>
      </c>
      <c r="K785" s="35" t="s">
        <v>9</v>
      </c>
      <c r="L785" s="35" t="s">
        <v>10</v>
      </c>
    </row>
    <row r="786" spans="1:12" x14ac:dyDescent="0.2">
      <c r="A786" s="52">
        <v>46083</v>
      </c>
      <c r="B786" s="52"/>
      <c r="C786" s="54" t="s">
        <v>339</v>
      </c>
      <c r="D786" s="54"/>
      <c r="E786" s="54"/>
      <c r="F786" s="54"/>
      <c r="G786" s="54"/>
      <c r="H786" s="54"/>
      <c r="I786" s="54"/>
      <c r="J786" s="31"/>
      <c r="K786" s="31">
        <v>1</v>
      </c>
      <c r="L786" s="28"/>
    </row>
    <row r="787" spans="1:12" x14ac:dyDescent="0.2">
      <c r="A787" s="52"/>
      <c r="B787" s="52"/>
      <c r="C787" s="54"/>
      <c r="D787" s="54"/>
      <c r="E787" s="54"/>
      <c r="F787" s="54"/>
      <c r="G787" s="54"/>
      <c r="H787" s="54"/>
      <c r="I787" s="54"/>
      <c r="J787" s="31"/>
      <c r="K787" s="31"/>
      <c r="L787" s="28"/>
    </row>
    <row r="788" spans="1:12" x14ac:dyDescent="0.2">
      <c r="A788" s="52"/>
      <c r="B788" s="52"/>
      <c r="C788" s="54"/>
      <c r="D788" s="54"/>
      <c r="E788" s="54"/>
      <c r="F788" s="54"/>
      <c r="G788" s="54"/>
      <c r="H788" s="54"/>
      <c r="I788" s="54"/>
      <c r="J788" s="31"/>
      <c r="K788" s="31"/>
      <c r="L788" s="28"/>
    </row>
    <row r="789" spans="1:12" x14ac:dyDescent="0.2">
      <c r="A789" s="55" t="s">
        <v>16</v>
      </c>
      <c r="B789" s="56"/>
      <c r="C789" s="56"/>
      <c r="D789" s="56"/>
      <c r="E789" s="56"/>
      <c r="F789" s="56"/>
      <c r="G789" s="56"/>
      <c r="H789" s="56"/>
      <c r="I789" s="57"/>
      <c r="J789" s="36">
        <f t="shared" ref="J789:L789" si="229">SUM(J786:J788)</f>
        <v>0</v>
      </c>
      <c r="K789" s="36">
        <f t="shared" si="229"/>
        <v>1</v>
      </c>
      <c r="L789" s="36">
        <f t="shared" si="229"/>
        <v>0</v>
      </c>
    </row>
    <row r="790" spans="1:12" x14ac:dyDescent="0.2">
      <c r="A790" s="27">
        <v>125</v>
      </c>
      <c r="B790" s="28"/>
      <c r="C790" s="43" t="s">
        <v>282</v>
      </c>
      <c r="D790" s="29" t="s">
        <v>88</v>
      </c>
      <c r="E790" s="30" t="s">
        <v>388</v>
      </c>
      <c r="F790" s="31"/>
      <c r="G790" s="31"/>
      <c r="H790" s="31" t="s">
        <v>14</v>
      </c>
      <c r="I790" s="31">
        <v>2</v>
      </c>
      <c r="J790" s="32">
        <f t="shared" ref="J790:K790" si="230">+J795</f>
        <v>10</v>
      </c>
      <c r="K790" s="33">
        <f t="shared" si="230"/>
        <v>1</v>
      </c>
      <c r="L790" s="37">
        <f>+I790+J790-K790</f>
        <v>11</v>
      </c>
    </row>
    <row r="791" spans="1:12" x14ac:dyDescent="0.2">
      <c r="A791" s="58" t="s">
        <v>15</v>
      </c>
      <c r="B791" s="58"/>
      <c r="C791" s="59" t="s">
        <v>3</v>
      </c>
      <c r="D791" s="59"/>
      <c r="E791" s="59"/>
      <c r="F791" s="59"/>
      <c r="G791" s="59"/>
      <c r="H791" s="59"/>
      <c r="I791" s="59"/>
      <c r="J791" s="35" t="s">
        <v>8</v>
      </c>
      <c r="K791" s="35" t="s">
        <v>9</v>
      </c>
      <c r="L791" s="35" t="s">
        <v>10</v>
      </c>
    </row>
    <row r="792" spans="1:12" x14ac:dyDescent="0.2">
      <c r="A792" s="52">
        <v>46083</v>
      </c>
      <c r="B792" s="52"/>
      <c r="C792" s="54" t="s">
        <v>277</v>
      </c>
      <c r="D792" s="54"/>
      <c r="E792" s="54"/>
      <c r="F792" s="54"/>
      <c r="G792" s="54"/>
      <c r="H792" s="54"/>
      <c r="I792" s="54"/>
      <c r="J792" s="31">
        <v>10</v>
      </c>
      <c r="K792" s="31"/>
      <c r="L792" s="28"/>
    </row>
    <row r="793" spans="1:12" x14ac:dyDescent="0.2">
      <c r="A793" s="52">
        <v>46083</v>
      </c>
      <c r="B793" s="52"/>
      <c r="C793" s="54" t="s">
        <v>339</v>
      </c>
      <c r="D793" s="54"/>
      <c r="E793" s="54"/>
      <c r="F793" s="54"/>
      <c r="G793" s="54"/>
      <c r="H793" s="54"/>
      <c r="I793" s="54"/>
      <c r="J793" s="31"/>
      <c r="K793" s="31">
        <v>1</v>
      </c>
      <c r="L793" s="28"/>
    </row>
    <row r="794" spans="1:12" x14ac:dyDescent="0.2">
      <c r="A794" s="52"/>
      <c r="B794" s="52"/>
      <c r="C794" s="54"/>
      <c r="D794" s="54"/>
      <c r="E794" s="54"/>
      <c r="F794" s="54"/>
      <c r="G794" s="54"/>
      <c r="H794" s="54"/>
      <c r="I794" s="54"/>
      <c r="J794" s="31"/>
      <c r="K794" s="31"/>
      <c r="L794" s="28"/>
    </row>
    <row r="795" spans="1:12" x14ac:dyDescent="0.2">
      <c r="A795" s="55" t="s">
        <v>16</v>
      </c>
      <c r="B795" s="56"/>
      <c r="C795" s="56"/>
      <c r="D795" s="56"/>
      <c r="E795" s="56"/>
      <c r="F795" s="56"/>
      <c r="G795" s="56"/>
      <c r="H795" s="56"/>
      <c r="I795" s="57"/>
      <c r="J795" s="36">
        <f t="shared" ref="J795:L795" si="231">SUM(J792:J794)</f>
        <v>10</v>
      </c>
      <c r="K795" s="36">
        <f t="shared" si="231"/>
        <v>1</v>
      </c>
      <c r="L795" s="36">
        <f t="shared" si="231"/>
        <v>0</v>
      </c>
    </row>
    <row r="796" spans="1:12" x14ac:dyDescent="0.2">
      <c r="A796" s="27">
        <v>126</v>
      </c>
      <c r="B796" s="28"/>
      <c r="C796" s="43" t="s">
        <v>282</v>
      </c>
      <c r="D796" s="29" t="s">
        <v>89</v>
      </c>
      <c r="E796" s="30" t="s">
        <v>388</v>
      </c>
      <c r="F796" s="31"/>
      <c r="G796" s="31"/>
      <c r="H796" s="31" t="s">
        <v>14</v>
      </c>
      <c r="I796" s="31">
        <v>1</v>
      </c>
      <c r="J796" s="32">
        <f t="shared" ref="J796:K796" si="232">+J801</f>
        <v>0</v>
      </c>
      <c r="K796" s="33">
        <f t="shared" si="232"/>
        <v>0</v>
      </c>
      <c r="L796" s="38">
        <f>+I796+J796-K796</f>
        <v>1</v>
      </c>
    </row>
    <row r="797" spans="1:12" x14ac:dyDescent="0.2">
      <c r="A797" s="58" t="s">
        <v>15</v>
      </c>
      <c r="B797" s="58"/>
      <c r="C797" s="59" t="s">
        <v>3</v>
      </c>
      <c r="D797" s="59"/>
      <c r="E797" s="59"/>
      <c r="F797" s="59"/>
      <c r="G797" s="59"/>
      <c r="H797" s="59"/>
      <c r="I797" s="59"/>
      <c r="J797" s="35" t="s">
        <v>8</v>
      </c>
      <c r="K797" s="35" t="s">
        <v>9</v>
      </c>
      <c r="L797" s="35" t="s">
        <v>10</v>
      </c>
    </row>
    <row r="798" spans="1:12" x14ac:dyDescent="0.2">
      <c r="A798" s="52"/>
      <c r="B798" s="52"/>
      <c r="C798" s="54"/>
      <c r="D798" s="54"/>
      <c r="E798" s="54"/>
      <c r="F798" s="54"/>
      <c r="G798" s="54"/>
      <c r="H798" s="54"/>
      <c r="I798" s="54"/>
      <c r="J798" s="31"/>
      <c r="K798" s="31"/>
      <c r="L798" s="28"/>
    </row>
    <row r="799" spans="1:12" x14ac:dyDescent="0.2">
      <c r="A799" s="52"/>
      <c r="B799" s="52"/>
      <c r="C799" s="54"/>
      <c r="D799" s="54"/>
      <c r="E799" s="54"/>
      <c r="F799" s="54"/>
      <c r="G799" s="54"/>
      <c r="H799" s="54"/>
      <c r="I799" s="54"/>
      <c r="J799" s="31"/>
      <c r="K799" s="31"/>
      <c r="L799" s="28"/>
    </row>
    <row r="800" spans="1:12" x14ac:dyDescent="0.2">
      <c r="A800" s="52"/>
      <c r="B800" s="52"/>
      <c r="C800" s="54"/>
      <c r="D800" s="54"/>
      <c r="E800" s="54"/>
      <c r="F800" s="54"/>
      <c r="G800" s="54"/>
      <c r="H800" s="54"/>
      <c r="I800" s="54"/>
      <c r="J800" s="31"/>
      <c r="K800" s="31"/>
      <c r="L800" s="28"/>
    </row>
    <row r="801" spans="1:12" x14ac:dyDescent="0.2">
      <c r="A801" s="55" t="s">
        <v>16</v>
      </c>
      <c r="B801" s="56"/>
      <c r="C801" s="56"/>
      <c r="D801" s="56"/>
      <c r="E801" s="56"/>
      <c r="F801" s="56"/>
      <c r="G801" s="56"/>
      <c r="H801" s="56"/>
      <c r="I801" s="57"/>
      <c r="J801" s="36">
        <f t="shared" ref="J801:L801" si="233">SUM(J798:J800)</f>
        <v>0</v>
      </c>
      <c r="K801" s="36">
        <f t="shared" si="233"/>
        <v>0</v>
      </c>
      <c r="L801" s="36">
        <f t="shared" si="233"/>
        <v>0</v>
      </c>
    </row>
    <row r="802" spans="1:12" x14ac:dyDescent="0.2">
      <c r="A802" s="27">
        <v>127</v>
      </c>
      <c r="B802" s="28"/>
      <c r="C802" s="28" t="s">
        <v>282</v>
      </c>
      <c r="D802" s="29" t="s">
        <v>281</v>
      </c>
      <c r="E802" s="30" t="s">
        <v>388</v>
      </c>
      <c r="F802" s="31"/>
      <c r="G802" s="31"/>
      <c r="H802" s="31" t="s">
        <v>14</v>
      </c>
      <c r="I802" s="31">
        <v>0</v>
      </c>
      <c r="J802" s="32">
        <f t="shared" ref="J802:K802" si="234">+J807</f>
        <v>3</v>
      </c>
      <c r="K802" s="33">
        <f t="shared" si="234"/>
        <v>1</v>
      </c>
      <c r="L802" s="37">
        <f>+I802+J802-K802</f>
        <v>2</v>
      </c>
    </row>
    <row r="803" spans="1:12" x14ac:dyDescent="0.2">
      <c r="A803" s="58" t="s">
        <v>15</v>
      </c>
      <c r="B803" s="58"/>
      <c r="C803" s="59" t="s">
        <v>3</v>
      </c>
      <c r="D803" s="59"/>
      <c r="E803" s="59"/>
      <c r="F803" s="59"/>
      <c r="G803" s="59"/>
      <c r="H803" s="59"/>
      <c r="I803" s="59"/>
      <c r="J803" s="35" t="s">
        <v>8</v>
      </c>
      <c r="K803" s="35" t="s">
        <v>9</v>
      </c>
      <c r="L803" s="35" t="s">
        <v>10</v>
      </c>
    </row>
    <row r="804" spans="1:12" x14ac:dyDescent="0.2">
      <c r="A804" s="52">
        <v>46052</v>
      </c>
      <c r="B804" s="52"/>
      <c r="C804" s="54" t="s">
        <v>277</v>
      </c>
      <c r="D804" s="54"/>
      <c r="E804" s="54"/>
      <c r="F804" s="54"/>
      <c r="G804" s="54"/>
      <c r="H804" s="54"/>
      <c r="I804" s="54"/>
      <c r="J804" s="31">
        <v>3</v>
      </c>
      <c r="K804" s="31"/>
      <c r="L804" s="28"/>
    </row>
    <row r="805" spans="1:12" x14ac:dyDescent="0.2">
      <c r="A805" s="52">
        <v>46088</v>
      </c>
      <c r="B805" s="52"/>
      <c r="C805" s="61" t="s">
        <v>394</v>
      </c>
      <c r="D805" s="54"/>
      <c r="E805" s="54"/>
      <c r="F805" s="54"/>
      <c r="G805" s="54"/>
      <c r="H805" s="54"/>
      <c r="I805" s="54"/>
      <c r="J805" s="31"/>
      <c r="K805" s="31">
        <v>1</v>
      </c>
      <c r="L805" s="28"/>
    </row>
    <row r="806" spans="1:12" x14ac:dyDescent="0.2">
      <c r="A806" s="52"/>
      <c r="B806" s="52"/>
      <c r="C806" s="54"/>
      <c r="D806" s="54"/>
      <c r="E806" s="54"/>
      <c r="F806" s="54"/>
      <c r="G806" s="54"/>
      <c r="H806" s="54"/>
      <c r="I806" s="54"/>
      <c r="J806" s="31"/>
      <c r="K806" s="31"/>
      <c r="L806" s="28"/>
    </row>
    <row r="807" spans="1:12" x14ac:dyDescent="0.2">
      <c r="A807" s="55" t="s">
        <v>16</v>
      </c>
      <c r="B807" s="56"/>
      <c r="C807" s="56"/>
      <c r="D807" s="56"/>
      <c r="E807" s="56"/>
      <c r="F807" s="56"/>
      <c r="G807" s="56"/>
      <c r="H807" s="56"/>
      <c r="I807" s="57"/>
      <c r="J807" s="36">
        <f t="shared" ref="J807:L807" si="235">SUM(J804:J806)</f>
        <v>3</v>
      </c>
      <c r="K807" s="36">
        <f t="shared" si="235"/>
        <v>1</v>
      </c>
      <c r="L807" s="36">
        <f t="shared" si="235"/>
        <v>0</v>
      </c>
    </row>
    <row r="808" spans="1:12" x14ac:dyDescent="0.2">
      <c r="A808" s="27">
        <v>128</v>
      </c>
      <c r="B808" s="28"/>
      <c r="C808" s="43" t="s">
        <v>282</v>
      </c>
      <c r="D808" s="29" t="s">
        <v>86</v>
      </c>
      <c r="E808" s="30" t="s">
        <v>388</v>
      </c>
      <c r="F808" s="31"/>
      <c r="G808" s="31"/>
      <c r="H808" s="31" t="s">
        <v>14</v>
      </c>
      <c r="I808" s="31">
        <v>1</v>
      </c>
      <c r="J808" s="32">
        <f t="shared" ref="J808:K808" si="236">+J813</f>
        <v>0</v>
      </c>
      <c r="K808" s="33">
        <f t="shared" si="236"/>
        <v>0</v>
      </c>
      <c r="L808" s="37">
        <f>+I808+J808-K808</f>
        <v>1</v>
      </c>
    </row>
    <row r="809" spans="1:12" x14ac:dyDescent="0.2">
      <c r="A809" s="58" t="s">
        <v>15</v>
      </c>
      <c r="B809" s="58"/>
      <c r="C809" s="59" t="s">
        <v>3</v>
      </c>
      <c r="D809" s="59"/>
      <c r="E809" s="59"/>
      <c r="F809" s="59"/>
      <c r="G809" s="59"/>
      <c r="H809" s="59"/>
      <c r="I809" s="59"/>
      <c r="J809" s="35" t="s">
        <v>8</v>
      </c>
      <c r="K809" s="35" t="s">
        <v>9</v>
      </c>
      <c r="L809" s="35" t="s">
        <v>10</v>
      </c>
    </row>
    <row r="810" spans="1:12" x14ac:dyDescent="0.2">
      <c r="A810" s="52"/>
      <c r="B810" s="52"/>
      <c r="C810" s="54"/>
      <c r="D810" s="54"/>
      <c r="E810" s="54"/>
      <c r="F810" s="54"/>
      <c r="G810" s="54"/>
      <c r="H810" s="54"/>
      <c r="I810" s="54"/>
      <c r="J810" s="31"/>
      <c r="K810" s="31"/>
      <c r="L810" s="28"/>
    </row>
    <row r="811" spans="1:12" x14ac:dyDescent="0.2">
      <c r="A811" s="52"/>
      <c r="B811" s="52"/>
      <c r="C811" s="54"/>
      <c r="D811" s="54"/>
      <c r="E811" s="54"/>
      <c r="F811" s="54"/>
      <c r="G811" s="54"/>
      <c r="H811" s="54"/>
      <c r="I811" s="54"/>
      <c r="J811" s="31"/>
      <c r="K811" s="31"/>
      <c r="L811" s="28"/>
    </row>
    <row r="812" spans="1:12" x14ac:dyDescent="0.2">
      <c r="A812" s="52"/>
      <c r="B812" s="52"/>
      <c r="C812" s="54"/>
      <c r="D812" s="54"/>
      <c r="E812" s="54"/>
      <c r="F812" s="54"/>
      <c r="G812" s="54"/>
      <c r="H812" s="54"/>
      <c r="I812" s="54"/>
      <c r="J812" s="31"/>
      <c r="K812" s="31"/>
      <c r="L812" s="28"/>
    </row>
    <row r="813" spans="1:12" x14ac:dyDescent="0.2">
      <c r="A813" s="55" t="s">
        <v>16</v>
      </c>
      <c r="B813" s="56"/>
      <c r="C813" s="56"/>
      <c r="D813" s="56"/>
      <c r="E813" s="56"/>
      <c r="F813" s="56"/>
      <c r="G813" s="56"/>
      <c r="H813" s="56"/>
      <c r="I813" s="57"/>
      <c r="J813" s="36">
        <f t="shared" ref="J813:L813" si="237">SUM(J810:J812)</f>
        <v>0</v>
      </c>
      <c r="K813" s="36">
        <f t="shared" si="237"/>
        <v>0</v>
      </c>
      <c r="L813" s="36">
        <f t="shared" si="237"/>
        <v>0</v>
      </c>
    </row>
    <row r="814" spans="1:12" x14ac:dyDescent="0.2">
      <c r="A814" s="27">
        <v>129</v>
      </c>
      <c r="B814" s="28"/>
      <c r="C814" s="28" t="s">
        <v>282</v>
      </c>
      <c r="D814" s="29" t="s">
        <v>321</v>
      </c>
      <c r="E814" s="30" t="s">
        <v>388</v>
      </c>
      <c r="F814" s="31"/>
      <c r="G814" s="31"/>
      <c r="H814" s="31" t="s">
        <v>14</v>
      </c>
      <c r="I814" s="31">
        <v>0</v>
      </c>
      <c r="J814" s="32">
        <f t="shared" ref="J814:K814" si="238">+J819</f>
        <v>1</v>
      </c>
      <c r="K814" s="33">
        <f t="shared" si="238"/>
        <v>0</v>
      </c>
      <c r="L814" s="34">
        <f>+I814+J814-K814</f>
        <v>1</v>
      </c>
    </row>
    <row r="815" spans="1:12" x14ac:dyDescent="0.2">
      <c r="A815" s="58" t="s">
        <v>15</v>
      </c>
      <c r="B815" s="58"/>
      <c r="C815" s="59" t="s">
        <v>3</v>
      </c>
      <c r="D815" s="59"/>
      <c r="E815" s="59"/>
      <c r="F815" s="59"/>
      <c r="G815" s="59"/>
      <c r="H815" s="59"/>
      <c r="I815" s="59"/>
      <c r="J815" s="35" t="s">
        <v>8</v>
      </c>
      <c r="K815" s="35" t="s">
        <v>9</v>
      </c>
      <c r="L815" s="35" t="s">
        <v>10</v>
      </c>
    </row>
    <row r="816" spans="1:12" x14ac:dyDescent="0.2">
      <c r="A816" s="52">
        <v>46052</v>
      </c>
      <c r="B816" s="52"/>
      <c r="C816" s="54" t="s">
        <v>277</v>
      </c>
      <c r="D816" s="54"/>
      <c r="E816" s="54"/>
      <c r="F816" s="54"/>
      <c r="G816" s="54"/>
      <c r="H816" s="54"/>
      <c r="I816" s="54"/>
      <c r="J816" s="31">
        <v>1</v>
      </c>
      <c r="K816" s="31"/>
      <c r="L816" s="28"/>
    </row>
    <row r="817" spans="1:12" x14ac:dyDescent="0.2">
      <c r="A817" s="52"/>
      <c r="B817" s="52"/>
      <c r="C817" s="54"/>
      <c r="D817" s="54"/>
      <c r="E817" s="54"/>
      <c r="F817" s="54"/>
      <c r="G817" s="54"/>
      <c r="H817" s="54"/>
      <c r="I817" s="54"/>
      <c r="J817" s="31"/>
      <c r="K817" s="31"/>
      <c r="L817" s="28"/>
    </row>
    <row r="818" spans="1:12" x14ac:dyDescent="0.2">
      <c r="A818" s="52"/>
      <c r="B818" s="52"/>
      <c r="C818" s="54"/>
      <c r="D818" s="54"/>
      <c r="E818" s="54"/>
      <c r="F818" s="54"/>
      <c r="G818" s="54"/>
      <c r="H818" s="54"/>
      <c r="I818" s="54"/>
      <c r="J818" s="31"/>
      <c r="K818" s="31"/>
      <c r="L818" s="28"/>
    </row>
    <row r="819" spans="1:12" x14ac:dyDescent="0.2">
      <c r="A819" s="55" t="s">
        <v>16</v>
      </c>
      <c r="B819" s="56"/>
      <c r="C819" s="56"/>
      <c r="D819" s="56"/>
      <c r="E819" s="56"/>
      <c r="F819" s="56"/>
      <c r="G819" s="56"/>
      <c r="H819" s="56"/>
      <c r="I819" s="57"/>
      <c r="J819" s="36">
        <f t="shared" ref="J819:L819" si="239">SUM(J816:J818)</f>
        <v>1</v>
      </c>
      <c r="K819" s="36">
        <f t="shared" si="239"/>
        <v>0</v>
      </c>
      <c r="L819" s="36">
        <f t="shared" si="239"/>
        <v>0</v>
      </c>
    </row>
    <row r="820" spans="1:12" x14ac:dyDescent="0.2">
      <c r="A820" s="27">
        <v>130</v>
      </c>
      <c r="B820" s="28"/>
      <c r="C820" s="28" t="s">
        <v>282</v>
      </c>
      <c r="D820" s="29" t="s">
        <v>322</v>
      </c>
      <c r="E820" s="30" t="s">
        <v>388</v>
      </c>
      <c r="F820" s="31"/>
      <c r="G820" s="31"/>
      <c r="H820" s="31" t="s">
        <v>14</v>
      </c>
      <c r="I820" s="31">
        <v>0</v>
      </c>
      <c r="J820" s="32">
        <f t="shared" ref="J820:K820" si="240">+J825</f>
        <v>1</v>
      </c>
      <c r="K820" s="33">
        <f t="shared" si="240"/>
        <v>0</v>
      </c>
      <c r="L820" s="37">
        <f>+I820+J820-K820</f>
        <v>1</v>
      </c>
    </row>
    <row r="821" spans="1:12" x14ac:dyDescent="0.2">
      <c r="A821" s="58" t="s">
        <v>15</v>
      </c>
      <c r="B821" s="58"/>
      <c r="C821" s="59" t="s">
        <v>3</v>
      </c>
      <c r="D821" s="59"/>
      <c r="E821" s="59"/>
      <c r="F821" s="59"/>
      <c r="G821" s="59"/>
      <c r="H821" s="59"/>
      <c r="I821" s="59"/>
      <c r="J821" s="35" t="s">
        <v>8</v>
      </c>
      <c r="K821" s="35" t="s">
        <v>9</v>
      </c>
      <c r="L821" s="35" t="s">
        <v>10</v>
      </c>
    </row>
    <row r="822" spans="1:12" x14ac:dyDescent="0.2">
      <c r="A822" s="52">
        <v>46052</v>
      </c>
      <c r="B822" s="52"/>
      <c r="C822" s="54" t="s">
        <v>277</v>
      </c>
      <c r="D822" s="54"/>
      <c r="E822" s="54"/>
      <c r="F822" s="54"/>
      <c r="G822" s="54"/>
      <c r="H822" s="54"/>
      <c r="I822" s="54"/>
      <c r="J822" s="31">
        <v>1</v>
      </c>
      <c r="K822" s="31"/>
      <c r="L822" s="28"/>
    </row>
    <row r="823" spans="1:12" x14ac:dyDescent="0.2">
      <c r="A823" s="52"/>
      <c r="B823" s="52"/>
      <c r="C823" s="54"/>
      <c r="D823" s="54"/>
      <c r="E823" s="54"/>
      <c r="F823" s="54"/>
      <c r="G823" s="54"/>
      <c r="H823" s="54"/>
      <c r="I823" s="54"/>
      <c r="J823" s="31"/>
      <c r="K823" s="31"/>
      <c r="L823" s="28"/>
    </row>
    <row r="824" spans="1:12" x14ac:dyDescent="0.2">
      <c r="A824" s="52"/>
      <c r="B824" s="52"/>
      <c r="C824" s="54"/>
      <c r="D824" s="54"/>
      <c r="E824" s="54"/>
      <c r="F824" s="54"/>
      <c r="G824" s="54"/>
      <c r="H824" s="54"/>
      <c r="I824" s="54"/>
      <c r="J824" s="31"/>
      <c r="K824" s="31"/>
      <c r="L824" s="28"/>
    </row>
    <row r="825" spans="1:12" x14ac:dyDescent="0.2">
      <c r="A825" s="55" t="s">
        <v>16</v>
      </c>
      <c r="B825" s="56"/>
      <c r="C825" s="56"/>
      <c r="D825" s="56"/>
      <c r="E825" s="56"/>
      <c r="F825" s="56"/>
      <c r="G825" s="56"/>
      <c r="H825" s="56"/>
      <c r="I825" s="57"/>
      <c r="J825" s="36">
        <f t="shared" ref="J825:L825" si="241">SUM(J822:J824)</f>
        <v>1</v>
      </c>
      <c r="K825" s="36">
        <f t="shared" si="241"/>
        <v>0</v>
      </c>
      <c r="L825" s="36">
        <f t="shared" si="241"/>
        <v>0</v>
      </c>
    </row>
    <row r="826" spans="1:12" x14ac:dyDescent="0.2">
      <c r="A826" s="27">
        <v>131</v>
      </c>
      <c r="B826" s="28"/>
      <c r="C826" s="43" t="s">
        <v>282</v>
      </c>
      <c r="D826" s="29" t="s">
        <v>72</v>
      </c>
      <c r="E826" s="30" t="s">
        <v>388</v>
      </c>
      <c r="F826" s="31"/>
      <c r="G826" s="31"/>
      <c r="H826" s="31" t="s">
        <v>14</v>
      </c>
      <c r="I826" s="31">
        <v>1</v>
      </c>
      <c r="J826" s="32">
        <f t="shared" ref="J826:K826" si="242">+J831</f>
        <v>2</v>
      </c>
      <c r="K826" s="33">
        <f t="shared" si="242"/>
        <v>0</v>
      </c>
      <c r="L826" s="37">
        <f>+I826+J826-K826</f>
        <v>3</v>
      </c>
    </row>
    <row r="827" spans="1:12" x14ac:dyDescent="0.2">
      <c r="A827" s="58" t="s">
        <v>15</v>
      </c>
      <c r="B827" s="58"/>
      <c r="C827" s="59" t="s">
        <v>3</v>
      </c>
      <c r="D827" s="59"/>
      <c r="E827" s="59"/>
      <c r="F827" s="59"/>
      <c r="G827" s="59"/>
      <c r="H827" s="59"/>
      <c r="I827" s="59"/>
      <c r="J827" s="35" t="s">
        <v>8</v>
      </c>
      <c r="K827" s="35" t="s">
        <v>9</v>
      </c>
      <c r="L827" s="35" t="s">
        <v>10</v>
      </c>
    </row>
    <row r="828" spans="1:12" x14ac:dyDescent="0.2">
      <c r="A828" s="52">
        <v>46052</v>
      </c>
      <c r="B828" s="52"/>
      <c r="C828" s="54" t="s">
        <v>277</v>
      </c>
      <c r="D828" s="54"/>
      <c r="E828" s="54"/>
      <c r="F828" s="54"/>
      <c r="G828" s="54"/>
      <c r="H828" s="54"/>
      <c r="I828" s="54"/>
      <c r="J828" s="31">
        <v>2</v>
      </c>
      <c r="K828" s="31"/>
      <c r="L828" s="28"/>
    </row>
    <row r="829" spans="1:12" x14ac:dyDescent="0.2">
      <c r="A829" s="52"/>
      <c r="B829" s="52"/>
      <c r="C829" s="54"/>
      <c r="D829" s="54"/>
      <c r="E829" s="54"/>
      <c r="F829" s="54"/>
      <c r="G829" s="54"/>
      <c r="H829" s="54"/>
      <c r="I829" s="54"/>
      <c r="J829" s="31"/>
      <c r="K829" s="31"/>
      <c r="L829" s="28"/>
    </row>
    <row r="830" spans="1:12" x14ac:dyDescent="0.2">
      <c r="A830" s="52"/>
      <c r="B830" s="52"/>
      <c r="C830" s="54"/>
      <c r="D830" s="54"/>
      <c r="E830" s="54"/>
      <c r="F830" s="54"/>
      <c r="G830" s="54"/>
      <c r="H830" s="54"/>
      <c r="I830" s="54"/>
      <c r="J830" s="31"/>
      <c r="K830" s="31"/>
      <c r="L830" s="28"/>
    </row>
    <row r="831" spans="1:12" x14ac:dyDescent="0.2">
      <c r="A831" s="55" t="s">
        <v>16</v>
      </c>
      <c r="B831" s="56"/>
      <c r="C831" s="56"/>
      <c r="D831" s="56"/>
      <c r="E831" s="56"/>
      <c r="F831" s="56"/>
      <c r="G831" s="56"/>
      <c r="H831" s="56"/>
      <c r="I831" s="57"/>
      <c r="J831" s="36">
        <f t="shared" ref="J831:L831" si="243">SUM(J828:J830)</f>
        <v>2</v>
      </c>
      <c r="K831" s="36">
        <f t="shared" si="243"/>
        <v>0</v>
      </c>
      <c r="L831" s="36">
        <f t="shared" si="243"/>
        <v>0</v>
      </c>
    </row>
    <row r="832" spans="1:12" x14ac:dyDescent="0.2">
      <c r="A832" s="27">
        <v>132</v>
      </c>
      <c r="B832" s="28"/>
      <c r="C832" s="43" t="s">
        <v>282</v>
      </c>
      <c r="D832" s="29" t="s">
        <v>73</v>
      </c>
      <c r="E832" s="30" t="s">
        <v>388</v>
      </c>
      <c r="F832" s="31"/>
      <c r="G832" s="31"/>
      <c r="H832" s="31" t="s">
        <v>14</v>
      </c>
      <c r="I832" s="31">
        <v>1</v>
      </c>
      <c r="J832" s="32">
        <f t="shared" ref="J832:K832" si="244">+J837</f>
        <v>0</v>
      </c>
      <c r="K832" s="33">
        <f t="shared" si="244"/>
        <v>0</v>
      </c>
      <c r="L832" s="38">
        <f>+I832+J832-K832</f>
        <v>1</v>
      </c>
    </row>
    <row r="833" spans="1:12" x14ac:dyDescent="0.2">
      <c r="A833" s="58" t="s">
        <v>15</v>
      </c>
      <c r="B833" s="58"/>
      <c r="C833" s="59" t="s">
        <v>3</v>
      </c>
      <c r="D833" s="59"/>
      <c r="E833" s="59"/>
      <c r="F833" s="59"/>
      <c r="G833" s="59"/>
      <c r="H833" s="59"/>
      <c r="I833" s="59"/>
      <c r="J833" s="35" t="s">
        <v>8</v>
      </c>
      <c r="K833" s="35" t="s">
        <v>9</v>
      </c>
      <c r="L833" s="35" t="s">
        <v>10</v>
      </c>
    </row>
    <row r="834" spans="1:12" x14ac:dyDescent="0.2">
      <c r="A834" s="52"/>
      <c r="B834" s="52"/>
      <c r="C834" s="54"/>
      <c r="D834" s="54"/>
      <c r="E834" s="54"/>
      <c r="F834" s="54"/>
      <c r="G834" s="54"/>
      <c r="H834" s="54"/>
      <c r="I834" s="54"/>
      <c r="J834" s="31"/>
      <c r="K834" s="31"/>
      <c r="L834" s="28"/>
    </row>
    <row r="835" spans="1:12" x14ac:dyDescent="0.2">
      <c r="A835" s="52"/>
      <c r="B835" s="52"/>
      <c r="C835" s="54"/>
      <c r="D835" s="54"/>
      <c r="E835" s="54"/>
      <c r="F835" s="54"/>
      <c r="G835" s="54"/>
      <c r="H835" s="54"/>
      <c r="I835" s="54"/>
      <c r="J835" s="31"/>
      <c r="K835" s="31"/>
      <c r="L835" s="28"/>
    </row>
    <row r="836" spans="1:12" x14ac:dyDescent="0.2">
      <c r="A836" s="52"/>
      <c r="B836" s="52"/>
      <c r="C836" s="54"/>
      <c r="D836" s="54"/>
      <c r="E836" s="54"/>
      <c r="F836" s="54"/>
      <c r="G836" s="54"/>
      <c r="H836" s="54"/>
      <c r="I836" s="54"/>
      <c r="J836" s="31"/>
      <c r="K836" s="31"/>
      <c r="L836" s="28"/>
    </row>
    <row r="837" spans="1:12" x14ac:dyDescent="0.2">
      <c r="A837" s="55" t="s">
        <v>16</v>
      </c>
      <c r="B837" s="56"/>
      <c r="C837" s="56"/>
      <c r="D837" s="56"/>
      <c r="E837" s="56"/>
      <c r="F837" s="56"/>
      <c r="G837" s="56"/>
      <c r="H837" s="56"/>
      <c r="I837" s="57"/>
      <c r="J837" s="36">
        <f t="shared" ref="J837:L837" si="245">SUM(J834:J836)</f>
        <v>0</v>
      </c>
      <c r="K837" s="36">
        <f t="shared" si="245"/>
        <v>0</v>
      </c>
      <c r="L837" s="36">
        <f t="shared" si="245"/>
        <v>0</v>
      </c>
    </row>
    <row r="838" spans="1:12" x14ac:dyDescent="0.2">
      <c r="A838" s="27">
        <v>133</v>
      </c>
      <c r="B838" s="28"/>
      <c r="C838" s="43" t="s">
        <v>282</v>
      </c>
      <c r="D838" s="46" t="s">
        <v>395</v>
      </c>
      <c r="E838" s="30" t="s">
        <v>388</v>
      </c>
      <c r="F838" s="31"/>
      <c r="G838" s="31"/>
      <c r="H838" s="31" t="s">
        <v>14</v>
      </c>
      <c r="I838" s="31">
        <v>0</v>
      </c>
      <c r="J838" s="32">
        <f t="shared" ref="J838:K838" si="246">+J843</f>
        <v>1</v>
      </c>
      <c r="K838" s="33">
        <f t="shared" si="246"/>
        <v>0</v>
      </c>
      <c r="L838" s="34">
        <f>+I838+J838-K838</f>
        <v>1</v>
      </c>
    </row>
    <row r="839" spans="1:12" x14ac:dyDescent="0.2">
      <c r="A839" s="58" t="s">
        <v>15</v>
      </c>
      <c r="B839" s="58"/>
      <c r="C839" s="59" t="s">
        <v>3</v>
      </c>
      <c r="D839" s="59"/>
      <c r="E839" s="59"/>
      <c r="F839" s="59"/>
      <c r="G839" s="59"/>
      <c r="H839" s="59"/>
      <c r="I839" s="59"/>
      <c r="J839" s="35" t="s">
        <v>8</v>
      </c>
      <c r="K839" s="35" t="s">
        <v>9</v>
      </c>
      <c r="L839" s="35" t="s">
        <v>10</v>
      </c>
    </row>
    <row r="840" spans="1:12" x14ac:dyDescent="0.2">
      <c r="A840" s="52">
        <v>46107</v>
      </c>
      <c r="B840" s="52"/>
      <c r="C840" s="61" t="s">
        <v>363</v>
      </c>
      <c r="D840" s="54"/>
      <c r="E840" s="54"/>
      <c r="F840" s="54"/>
      <c r="G840" s="54"/>
      <c r="H840" s="54"/>
      <c r="I840" s="54"/>
      <c r="J840" s="31">
        <v>1</v>
      </c>
      <c r="K840" s="31"/>
      <c r="L840" s="28"/>
    </row>
    <row r="841" spans="1:12" x14ac:dyDescent="0.2">
      <c r="A841" s="52"/>
      <c r="B841" s="52"/>
      <c r="C841" s="54"/>
      <c r="D841" s="54"/>
      <c r="E841" s="54"/>
      <c r="F841" s="54"/>
      <c r="G841" s="54"/>
      <c r="H841" s="54"/>
      <c r="I841" s="54"/>
      <c r="J841" s="31"/>
      <c r="K841" s="31"/>
      <c r="L841" s="28"/>
    </row>
    <row r="842" spans="1:12" x14ac:dyDescent="0.2">
      <c r="A842" s="52"/>
      <c r="B842" s="52"/>
      <c r="C842" s="54"/>
      <c r="D842" s="54"/>
      <c r="E842" s="54"/>
      <c r="F842" s="54"/>
      <c r="G842" s="54"/>
      <c r="H842" s="54"/>
      <c r="I842" s="54"/>
      <c r="J842" s="31"/>
      <c r="K842" s="31"/>
      <c r="L842" s="28"/>
    </row>
    <row r="843" spans="1:12" x14ac:dyDescent="0.2">
      <c r="A843" s="55" t="s">
        <v>16</v>
      </c>
      <c r="B843" s="56"/>
      <c r="C843" s="56"/>
      <c r="D843" s="56"/>
      <c r="E843" s="56"/>
      <c r="F843" s="56"/>
      <c r="G843" s="56"/>
      <c r="H843" s="56"/>
      <c r="I843" s="57"/>
      <c r="J843" s="36">
        <f t="shared" ref="J843:L843" si="247">SUM(J840:J842)</f>
        <v>1</v>
      </c>
      <c r="K843" s="36">
        <f t="shared" si="247"/>
        <v>0</v>
      </c>
      <c r="L843" s="36">
        <f t="shared" si="247"/>
        <v>0</v>
      </c>
    </row>
    <row r="844" spans="1:12" x14ac:dyDescent="0.2">
      <c r="A844" s="27">
        <v>134</v>
      </c>
      <c r="B844" s="28"/>
      <c r="C844" s="28" t="s">
        <v>282</v>
      </c>
      <c r="D844" s="29" t="s">
        <v>323</v>
      </c>
      <c r="E844" s="30" t="s">
        <v>388</v>
      </c>
      <c r="F844" s="31"/>
      <c r="G844" s="31"/>
      <c r="H844" s="31" t="s">
        <v>14</v>
      </c>
      <c r="I844" s="31">
        <v>0</v>
      </c>
      <c r="J844" s="32">
        <f t="shared" ref="J844:K844" si="248">+J850</f>
        <v>4</v>
      </c>
      <c r="K844" s="33">
        <f t="shared" si="248"/>
        <v>0</v>
      </c>
      <c r="L844" s="34">
        <f>+I844+J844-K844</f>
        <v>4</v>
      </c>
    </row>
    <row r="845" spans="1:12" x14ac:dyDescent="0.2">
      <c r="A845" s="58" t="s">
        <v>15</v>
      </c>
      <c r="B845" s="58"/>
      <c r="C845" s="59" t="s">
        <v>3</v>
      </c>
      <c r="D845" s="59"/>
      <c r="E845" s="59"/>
      <c r="F845" s="59"/>
      <c r="G845" s="59"/>
      <c r="H845" s="59"/>
      <c r="I845" s="59"/>
      <c r="J845" s="35" t="s">
        <v>8</v>
      </c>
      <c r="K845" s="35" t="s">
        <v>9</v>
      </c>
      <c r="L845" s="35" t="s">
        <v>10</v>
      </c>
    </row>
    <row r="846" spans="1:12" x14ac:dyDescent="0.2">
      <c r="A846" s="52">
        <v>46052</v>
      </c>
      <c r="B846" s="52"/>
      <c r="C846" s="54" t="s">
        <v>277</v>
      </c>
      <c r="D846" s="54"/>
      <c r="E846" s="54"/>
      <c r="F846" s="54"/>
      <c r="G846" s="54"/>
      <c r="H846" s="54"/>
      <c r="I846" s="54"/>
      <c r="J846" s="31">
        <v>2</v>
      </c>
      <c r="K846" s="31"/>
      <c r="L846" s="28"/>
    </row>
    <row r="847" spans="1:12" x14ac:dyDescent="0.2">
      <c r="A847" s="52">
        <v>46107</v>
      </c>
      <c r="B847" s="52"/>
      <c r="C847" s="61" t="s">
        <v>359</v>
      </c>
      <c r="D847" s="54"/>
      <c r="E847" s="54"/>
      <c r="F847" s="54"/>
      <c r="G847" s="54"/>
      <c r="H847" s="54"/>
      <c r="I847" s="54"/>
      <c r="J847" s="31">
        <v>1</v>
      </c>
      <c r="K847" s="31"/>
      <c r="L847" s="28"/>
    </row>
    <row r="848" spans="1:12" x14ac:dyDescent="0.2">
      <c r="A848" s="52">
        <v>46107</v>
      </c>
      <c r="B848" s="52"/>
      <c r="C848" s="61" t="s">
        <v>363</v>
      </c>
      <c r="D848" s="54"/>
      <c r="E848" s="54"/>
      <c r="F848" s="54"/>
      <c r="G848" s="54"/>
      <c r="H848" s="54"/>
      <c r="I848" s="54"/>
      <c r="J848" s="31">
        <v>1</v>
      </c>
      <c r="K848" s="31"/>
      <c r="L848" s="28"/>
    </row>
    <row r="849" spans="1:12" x14ac:dyDescent="0.2">
      <c r="A849" s="52"/>
      <c r="B849" s="52"/>
      <c r="C849" s="54"/>
      <c r="D849" s="54"/>
      <c r="E849" s="54"/>
      <c r="F849" s="54"/>
      <c r="G849" s="54"/>
      <c r="H849" s="54"/>
      <c r="I849" s="54"/>
      <c r="J849" s="31"/>
      <c r="K849" s="31"/>
      <c r="L849" s="28"/>
    </row>
    <row r="850" spans="1:12" x14ac:dyDescent="0.2">
      <c r="A850" s="55" t="s">
        <v>16</v>
      </c>
      <c r="B850" s="56"/>
      <c r="C850" s="56"/>
      <c r="D850" s="56"/>
      <c r="E850" s="56"/>
      <c r="F850" s="56"/>
      <c r="G850" s="56"/>
      <c r="H850" s="56"/>
      <c r="I850" s="57"/>
      <c r="J850" s="36">
        <f t="shared" ref="J850:L850" si="249">SUM(J846:J849)</f>
        <v>4</v>
      </c>
      <c r="K850" s="36">
        <f t="shared" si="249"/>
        <v>0</v>
      </c>
      <c r="L850" s="36">
        <f t="shared" si="249"/>
        <v>0</v>
      </c>
    </row>
    <row r="851" spans="1:12" x14ac:dyDescent="0.2">
      <c r="A851" s="27">
        <v>135</v>
      </c>
      <c r="B851" s="28"/>
      <c r="C851" s="43" t="s">
        <v>282</v>
      </c>
      <c r="D851" s="29" t="s">
        <v>77</v>
      </c>
      <c r="E851" s="30" t="s">
        <v>388</v>
      </c>
      <c r="F851" s="31"/>
      <c r="G851" s="31"/>
      <c r="H851" s="31" t="s">
        <v>14</v>
      </c>
      <c r="I851" s="31">
        <v>3</v>
      </c>
      <c r="J851" s="32">
        <f t="shared" ref="J851:K851" si="250">+J856</f>
        <v>10</v>
      </c>
      <c r="K851" s="33">
        <f t="shared" si="250"/>
        <v>0</v>
      </c>
      <c r="L851" s="34">
        <f>+I851+J851-K851</f>
        <v>13</v>
      </c>
    </row>
    <row r="852" spans="1:12" x14ac:dyDescent="0.2">
      <c r="A852" s="58" t="s">
        <v>15</v>
      </c>
      <c r="B852" s="58"/>
      <c r="C852" s="59" t="s">
        <v>3</v>
      </c>
      <c r="D852" s="59"/>
      <c r="E852" s="59"/>
      <c r="F852" s="59"/>
      <c r="G852" s="59"/>
      <c r="H852" s="59"/>
      <c r="I852" s="59"/>
      <c r="J852" s="35" t="s">
        <v>8</v>
      </c>
      <c r="K852" s="35" t="s">
        <v>9</v>
      </c>
      <c r="L852" s="35" t="s">
        <v>10</v>
      </c>
    </row>
    <row r="853" spans="1:12" x14ac:dyDescent="0.2">
      <c r="A853" s="52">
        <v>46052</v>
      </c>
      <c r="B853" s="52"/>
      <c r="C853" s="54" t="s">
        <v>277</v>
      </c>
      <c r="D853" s="54"/>
      <c r="E853" s="54"/>
      <c r="F853" s="54"/>
      <c r="G853" s="54"/>
      <c r="H853" s="54"/>
      <c r="I853" s="54"/>
      <c r="J853" s="31">
        <v>10</v>
      </c>
      <c r="K853" s="31"/>
      <c r="L853" s="28"/>
    </row>
    <row r="854" spans="1:12" x14ac:dyDescent="0.2">
      <c r="A854" s="52"/>
      <c r="B854" s="52"/>
      <c r="C854" s="54"/>
      <c r="D854" s="54"/>
      <c r="E854" s="54"/>
      <c r="F854" s="54"/>
      <c r="G854" s="54"/>
      <c r="H854" s="54"/>
      <c r="I854" s="54"/>
      <c r="J854" s="31"/>
      <c r="K854" s="31"/>
      <c r="L854" s="28"/>
    </row>
    <row r="855" spans="1:12" x14ac:dyDescent="0.2">
      <c r="A855" s="52"/>
      <c r="B855" s="52"/>
      <c r="C855" s="54"/>
      <c r="D855" s="54"/>
      <c r="E855" s="54"/>
      <c r="F855" s="54"/>
      <c r="G855" s="54"/>
      <c r="H855" s="54"/>
      <c r="I855" s="54"/>
      <c r="J855" s="31"/>
      <c r="K855" s="31"/>
      <c r="L855" s="28"/>
    </row>
    <row r="856" spans="1:12" x14ac:dyDescent="0.2">
      <c r="A856" s="55" t="s">
        <v>16</v>
      </c>
      <c r="B856" s="56"/>
      <c r="C856" s="56"/>
      <c r="D856" s="56"/>
      <c r="E856" s="56"/>
      <c r="F856" s="56"/>
      <c r="G856" s="56"/>
      <c r="H856" s="56"/>
      <c r="I856" s="57"/>
      <c r="J856" s="36">
        <f t="shared" ref="J856:L856" si="251">SUM(J853:J855)</f>
        <v>10</v>
      </c>
      <c r="K856" s="36">
        <f t="shared" si="251"/>
        <v>0</v>
      </c>
      <c r="L856" s="36">
        <f t="shared" si="251"/>
        <v>0</v>
      </c>
    </row>
    <row r="857" spans="1:12" x14ac:dyDescent="0.2">
      <c r="A857" s="27">
        <v>136</v>
      </c>
      <c r="B857" s="28"/>
      <c r="C857" s="43" t="s">
        <v>282</v>
      </c>
      <c r="D857" s="29" t="s">
        <v>74</v>
      </c>
      <c r="E857" s="30" t="s">
        <v>388</v>
      </c>
      <c r="F857" s="31"/>
      <c r="G857" s="31"/>
      <c r="H857" s="31" t="s">
        <v>14</v>
      </c>
      <c r="I857" s="31">
        <v>1</v>
      </c>
      <c r="J857" s="32">
        <f t="shared" ref="J857:K857" si="252">+J862</f>
        <v>0</v>
      </c>
      <c r="K857" s="33">
        <f t="shared" si="252"/>
        <v>0</v>
      </c>
      <c r="L857" s="37">
        <f>+I857+J857-K857</f>
        <v>1</v>
      </c>
    </row>
    <row r="858" spans="1:12" x14ac:dyDescent="0.2">
      <c r="A858" s="58" t="s">
        <v>15</v>
      </c>
      <c r="B858" s="58"/>
      <c r="C858" s="59" t="s">
        <v>3</v>
      </c>
      <c r="D858" s="59"/>
      <c r="E858" s="59"/>
      <c r="F858" s="59"/>
      <c r="G858" s="59"/>
      <c r="H858" s="59"/>
      <c r="I858" s="59"/>
      <c r="J858" s="35" t="s">
        <v>8</v>
      </c>
      <c r="K858" s="35" t="s">
        <v>9</v>
      </c>
      <c r="L858" s="35" t="s">
        <v>10</v>
      </c>
    </row>
    <row r="859" spans="1:12" x14ac:dyDescent="0.2">
      <c r="A859" s="52"/>
      <c r="B859" s="52"/>
      <c r="C859" s="54"/>
      <c r="D859" s="54"/>
      <c r="E859" s="54"/>
      <c r="F859" s="54"/>
      <c r="G859" s="54"/>
      <c r="H859" s="54"/>
      <c r="I859" s="54"/>
      <c r="J859" s="31"/>
      <c r="K859" s="31"/>
      <c r="L859" s="28"/>
    </row>
    <row r="860" spans="1:12" x14ac:dyDescent="0.2">
      <c r="A860" s="52"/>
      <c r="B860" s="52"/>
      <c r="C860" s="54"/>
      <c r="D860" s="54"/>
      <c r="E860" s="54"/>
      <c r="F860" s="54"/>
      <c r="G860" s="54"/>
      <c r="H860" s="54"/>
      <c r="I860" s="54"/>
      <c r="J860" s="31"/>
      <c r="K860" s="31"/>
      <c r="L860" s="28"/>
    </row>
    <row r="861" spans="1:12" x14ac:dyDescent="0.2">
      <c r="A861" s="52"/>
      <c r="B861" s="52"/>
      <c r="C861" s="54"/>
      <c r="D861" s="54"/>
      <c r="E861" s="54"/>
      <c r="F861" s="54"/>
      <c r="G861" s="54"/>
      <c r="H861" s="54"/>
      <c r="I861" s="54"/>
      <c r="J861" s="31"/>
      <c r="K861" s="31"/>
      <c r="L861" s="28"/>
    </row>
    <row r="862" spans="1:12" x14ac:dyDescent="0.2">
      <c r="A862" s="55" t="s">
        <v>16</v>
      </c>
      <c r="B862" s="56"/>
      <c r="C862" s="56"/>
      <c r="D862" s="56"/>
      <c r="E862" s="56"/>
      <c r="F862" s="56"/>
      <c r="G862" s="56"/>
      <c r="H862" s="56"/>
      <c r="I862" s="57"/>
      <c r="J862" s="36">
        <f t="shared" ref="J862:L862" si="253">SUM(J859:J861)</f>
        <v>0</v>
      </c>
      <c r="K862" s="36">
        <f t="shared" si="253"/>
        <v>0</v>
      </c>
      <c r="L862" s="36">
        <f t="shared" si="253"/>
        <v>0</v>
      </c>
    </row>
    <row r="863" spans="1:12" x14ac:dyDescent="0.2">
      <c r="A863" s="27">
        <v>137</v>
      </c>
      <c r="B863" s="28"/>
      <c r="C863" s="43" t="s">
        <v>282</v>
      </c>
      <c r="D863" s="29" t="s">
        <v>75</v>
      </c>
      <c r="E863" s="30" t="s">
        <v>388</v>
      </c>
      <c r="F863" s="31"/>
      <c r="G863" s="31"/>
      <c r="H863" s="31" t="s">
        <v>14</v>
      </c>
      <c r="I863" s="31">
        <v>1</v>
      </c>
      <c r="J863" s="32">
        <f t="shared" ref="J863:K863" si="254">+J868</f>
        <v>0</v>
      </c>
      <c r="K863" s="33">
        <f t="shared" si="254"/>
        <v>0</v>
      </c>
      <c r="L863" s="38">
        <f>+I863+J863-K863</f>
        <v>1</v>
      </c>
    </row>
    <row r="864" spans="1:12" x14ac:dyDescent="0.2">
      <c r="A864" s="58" t="s">
        <v>15</v>
      </c>
      <c r="B864" s="58"/>
      <c r="C864" s="59" t="s">
        <v>3</v>
      </c>
      <c r="D864" s="59"/>
      <c r="E864" s="59"/>
      <c r="F864" s="59"/>
      <c r="G864" s="59"/>
      <c r="H864" s="59"/>
      <c r="I864" s="59"/>
      <c r="J864" s="35" t="s">
        <v>8</v>
      </c>
      <c r="K864" s="35" t="s">
        <v>9</v>
      </c>
      <c r="L864" s="35" t="s">
        <v>10</v>
      </c>
    </row>
    <row r="865" spans="1:12" x14ac:dyDescent="0.2">
      <c r="A865" s="52"/>
      <c r="B865" s="52"/>
      <c r="C865" s="54"/>
      <c r="D865" s="54"/>
      <c r="E865" s="54"/>
      <c r="F865" s="54"/>
      <c r="G865" s="54"/>
      <c r="H865" s="54"/>
      <c r="I865" s="54"/>
      <c r="J865" s="31"/>
      <c r="K865" s="31"/>
      <c r="L865" s="28"/>
    </row>
    <row r="866" spans="1:12" x14ac:dyDescent="0.2">
      <c r="A866" s="52"/>
      <c r="B866" s="52"/>
      <c r="C866" s="54"/>
      <c r="D866" s="54"/>
      <c r="E866" s="54"/>
      <c r="F866" s="54"/>
      <c r="G866" s="54"/>
      <c r="H866" s="54"/>
      <c r="I866" s="54"/>
      <c r="J866" s="31"/>
      <c r="K866" s="31"/>
      <c r="L866" s="28"/>
    </row>
    <row r="867" spans="1:12" x14ac:dyDescent="0.2">
      <c r="A867" s="52"/>
      <c r="B867" s="52"/>
      <c r="C867" s="54"/>
      <c r="D867" s="54"/>
      <c r="E867" s="54"/>
      <c r="F867" s="54"/>
      <c r="G867" s="54"/>
      <c r="H867" s="54"/>
      <c r="I867" s="54"/>
      <c r="J867" s="31"/>
      <c r="K867" s="31"/>
      <c r="L867" s="28"/>
    </row>
    <row r="868" spans="1:12" x14ac:dyDescent="0.2">
      <c r="A868" s="55" t="s">
        <v>16</v>
      </c>
      <c r="B868" s="56"/>
      <c r="C868" s="56"/>
      <c r="D868" s="56"/>
      <c r="E868" s="56"/>
      <c r="F868" s="56"/>
      <c r="G868" s="56"/>
      <c r="H868" s="56"/>
      <c r="I868" s="57"/>
      <c r="J868" s="36">
        <f t="shared" ref="J868:L868" si="255">SUM(J865:J867)</f>
        <v>0</v>
      </c>
      <c r="K868" s="36">
        <f t="shared" si="255"/>
        <v>0</v>
      </c>
      <c r="L868" s="36">
        <f t="shared" si="255"/>
        <v>0</v>
      </c>
    </row>
    <row r="869" spans="1:12" x14ac:dyDescent="0.2">
      <c r="A869" s="27">
        <v>138</v>
      </c>
      <c r="B869" s="28"/>
      <c r="C869" s="43" t="s">
        <v>282</v>
      </c>
      <c r="D869" s="29" t="s">
        <v>76</v>
      </c>
      <c r="E869" s="30" t="s">
        <v>388</v>
      </c>
      <c r="F869" s="31"/>
      <c r="G869" s="31"/>
      <c r="H869" s="31" t="s">
        <v>14</v>
      </c>
      <c r="I869" s="31">
        <v>2</v>
      </c>
      <c r="J869" s="32">
        <f t="shared" ref="J869:K869" si="256">+J874</f>
        <v>0</v>
      </c>
      <c r="K869" s="33">
        <f t="shared" si="256"/>
        <v>0</v>
      </c>
      <c r="L869" s="37">
        <f>+I869+J869-K869</f>
        <v>2</v>
      </c>
    </row>
    <row r="870" spans="1:12" x14ac:dyDescent="0.2">
      <c r="A870" s="58" t="s">
        <v>15</v>
      </c>
      <c r="B870" s="58"/>
      <c r="C870" s="59" t="s">
        <v>3</v>
      </c>
      <c r="D870" s="59"/>
      <c r="E870" s="59"/>
      <c r="F870" s="59"/>
      <c r="G870" s="59"/>
      <c r="H870" s="59"/>
      <c r="I870" s="59"/>
      <c r="J870" s="35" t="s">
        <v>8</v>
      </c>
      <c r="K870" s="35" t="s">
        <v>9</v>
      </c>
      <c r="L870" s="35" t="s">
        <v>10</v>
      </c>
    </row>
    <row r="871" spans="1:12" x14ac:dyDescent="0.2">
      <c r="A871" s="52"/>
      <c r="B871" s="52"/>
      <c r="C871" s="54"/>
      <c r="D871" s="54"/>
      <c r="E871" s="54"/>
      <c r="F871" s="54"/>
      <c r="G871" s="54"/>
      <c r="H871" s="54"/>
      <c r="I871" s="54"/>
      <c r="J871" s="31"/>
      <c r="K871" s="31"/>
      <c r="L871" s="28"/>
    </row>
    <row r="872" spans="1:12" x14ac:dyDescent="0.2">
      <c r="A872" s="52"/>
      <c r="B872" s="52"/>
      <c r="C872" s="54"/>
      <c r="D872" s="54"/>
      <c r="E872" s="54"/>
      <c r="F872" s="54"/>
      <c r="G872" s="54"/>
      <c r="H872" s="54"/>
      <c r="I872" s="54"/>
      <c r="J872" s="31"/>
      <c r="K872" s="31"/>
      <c r="L872" s="28"/>
    </row>
    <row r="873" spans="1:12" x14ac:dyDescent="0.2">
      <c r="A873" s="52"/>
      <c r="B873" s="52"/>
      <c r="C873" s="54"/>
      <c r="D873" s="54"/>
      <c r="E873" s="54"/>
      <c r="F873" s="54"/>
      <c r="G873" s="54"/>
      <c r="H873" s="54"/>
      <c r="I873" s="54"/>
      <c r="J873" s="31"/>
      <c r="K873" s="31"/>
      <c r="L873" s="28"/>
    </row>
    <row r="874" spans="1:12" x14ac:dyDescent="0.2">
      <c r="A874" s="55" t="s">
        <v>16</v>
      </c>
      <c r="B874" s="56"/>
      <c r="C874" s="56"/>
      <c r="D874" s="56"/>
      <c r="E874" s="56"/>
      <c r="F874" s="56"/>
      <c r="G874" s="56"/>
      <c r="H874" s="56"/>
      <c r="I874" s="57"/>
      <c r="J874" s="36">
        <f t="shared" ref="J874:L874" si="257">SUM(J871:J873)</f>
        <v>0</v>
      </c>
      <c r="K874" s="36">
        <f t="shared" si="257"/>
        <v>0</v>
      </c>
      <c r="L874" s="36">
        <f t="shared" si="257"/>
        <v>0</v>
      </c>
    </row>
    <row r="875" spans="1:12" x14ac:dyDescent="0.2">
      <c r="A875" s="27">
        <v>139</v>
      </c>
      <c r="B875" s="28"/>
      <c r="C875" s="43" t="s">
        <v>282</v>
      </c>
      <c r="D875" s="29" t="s">
        <v>78</v>
      </c>
      <c r="E875" s="30" t="s">
        <v>388</v>
      </c>
      <c r="F875" s="31"/>
      <c r="G875" s="31"/>
      <c r="H875" s="31" t="s">
        <v>14</v>
      </c>
      <c r="I875" s="31">
        <v>3</v>
      </c>
      <c r="J875" s="32">
        <f t="shared" ref="J875:K875" si="258">+J880</f>
        <v>0</v>
      </c>
      <c r="K875" s="33">
        <f t="shared" si="258"/>
        <v>0</v>
      </c>
      <c r="L875" s="37">
        <f>+I875+J875-K875</f>
        <v>3</v>
      </c>
    </row>
    <row r="876" spans="1:12" x14ac:dyDescent="0.2">
      <c r="A876" s="58" t="s">
        <v>15</v>
      </c>
      <c r="B876" s="58"/>
      <c r="C876" s="59" t="s">
        <v>3</v>
      </c>
      <c r="D876" s="59"/>
      <c r="E876" s="59"/>
      <c r="F876" s="59"/>
      <c r="G876" s="59"/>
      <c r="H876" s="59"/>
      <c r="I876" s="59"/>
      <c r="J876" s="35" t="s">
        <v>8</v>
      </c>
      <c r="K876" s="35" t="s">
        <v>9</v>
      </c>
      <c r="L876" s="35" t="s">
        <v>10</v>
      </c>
    </row>
    <row r="877" spans="1:12" x14ac:dyDescent="0.2">
      <c r="A877" s="52"/>
      <c r="B877" s="52"/>
      <c r="C877" s="54"/>
      <c r="D877" s="54"/>
      <c r="E877" s="54"/>
      <c r="F877" s="54"/>
      <c r="G877" s="54"/>
      <c r="H877" s="54"/>
      <c r="I877" s="54"/>
      <c r="J877" s="31"/>
      <c r="K877" s="31"/>
      <c r="L877" s="28"/>
    </row>
    <row r="878" spans="1:12" x14ac:dyDescent="0.2">
      <c r="A878" s="52"/>
      <c r="B878" s="52"/>
      <c r="C878" s="54"/>
      <c r="D878" s="54"/>
      <c r="E878" s="54"/>
      <c r="F878" s="54"/>
      <c r="G878" s="54"/>
      <c r="H878" s="54"/>
      <c r="I878" s="54"/>
      <c r="J878" s="31"/>
      <c r="K878" s="31"/>
      <c r="L878" s="28"/>
    </row>
    <row r="879" spans="1:12" x14ac:dyDescent="0.2">
      <c r="A879" s="52"/>
      <c r="B879" s="52"/>
      <c r="C879" s="54"/>
      <c r="D879" s="54"/>
      <c r="E879" s="54"/>
      <c r="F879" s="54"/>
      <c r="G879" s="54"/>
      <c r="H879" s="54"/>
      <c r="I879" s="54"/>
      <c r="J879" s="31"/>
      <c r="K879" s="31"/>
      <c r="L879" s="28"/>
    </row>
    <row r="880" spans="1:12" x14ac:dyDescent="0.2">
      <c r="A880" s="55" t="s">
        <v>16</v>
      </c>
      <c r="B880" s="56"/>
      <c r="C880" s="56"/>
      <c r="D880" s="56"/>
      <c r="E880" s="56"/>
      <c r="F880" s="56"/>
      <c r="G880" s="56"/>
      <c r="H880" s="56"/>
      <c r="I880" s="57"/>
      <c r="J880" s="36">
        <f t="shared" ref="J880:L880" si="259">SUM(J877:J879)</f>
        <v>0</v>
      </c>
      <c r="K880" s="36">
        <f t="shared" si="259"/>
        <v>0</v>
      </c>
      <c r="L880" s="36">
        <f t="shared" si="259"/>
        <v>0</v>
      </c>
    </row>
    <row r="881" spans="1:12" x14ac:dyDescent="0.2">
      <c r="A881" s="27">
        <v>140</v>
      </c>
      <c r="B881" s="28"/>
      <c r="C881" s="43" t="s">
        <v>282</v>
      </c>
      <c r="D881" s="29" t="s">
        <v>79</v>
      </c>
      <c r="E881" s="30" t="s">
        <v>388</v>
      </c>
      <c r="F881" s="31"/>
      <c r="G881" s="31"/>
      <c r="H881" s="31" t="s">
        <v>14</v>
      </c>
      <c r="I881" s="31">
        <v>1</v>
      </c>
      <c r="J881" s="32">
        <f t="shared" ref="J881:K881" si="260">+J886</f>
        <v>1</v>
      </c>
      <c r="K881" s="33">
        <f t="shared" si="260"/>
        <v>0</v>
      </c>
      <c r="L881" s="38">
        <f>+I881+J881-K881</f>
        <v>2</v>
      </c>
    </row>
    <row r="882" spans="1:12" x14ac:dyDescent="0.2">
      <c r="A882" s="58" t="s">
        <v>15</v>
      </c>
      <c r="B882" s="58"/>
      <c r="C882" s="59" t="s">
        <v>3</v>
      </c>
      <c r="D882" s="59"/>
      <c r="E882" s="59"/>
      <c r="F882" s="59"/>
      <c r="G882" s="59"/>
      <c r="H882" s="59"/>
      <c r="I882" s="59"/>
      <c r="J882" s="35" t="s">
        <v>8</v>
      </c>
      <c r="K882" s="35" t="s">
        <v>9</v>
      </c>
      <c r="L882" s="35" t="s">
        <v>10</v>
      </c>
    </row>
    <row r="883" spans="1:12" x14ac:dyDescent="0.2">
      <c r="A883" s="60">
        <v>46107</v>
      </c>
      <c r="B883" s="52"/>
      <c r="C883" s="61" t="s">
        <v>363</v>
      </c>
      <c r="D883" s="54"/>
      <c r="E883" s="54"/>
      <c r="F883" s="54"/>
      <c r="G883" s="54"/>
      <c r="H883" s="54"/>
      <c r="I883" s="54"/>
      <c r="J883" s="31">
        <v>1</v>
      </c>
      <c r="K883" s="31"/>
      <c r="L883" s="28"/>
    </row>
    <row r="884" spans="1:12" x14ac:dyDescent="0.2">
      <c r="A884" s="52"/>
      <c r="B884" s="52"/>
      <c r="C884" s="54"/>
      <c r="D884" s="54"/>
      <c r="E884" s="54"/>
      <c r="F884" s="54"/>
      <c r="G884" s="54"/>
      <c r="H884" s="54"/>
      <c r="I884" s="54"/>
      <c r="J884" s="31"/>
      <c r="K884" s="31"/>
      <c r="L884" s="28"/>
    </row>
    <row r="885" spans="1:12" x14ac:dyDescent="0.2">
      <c r="A885" s="52"/>
      <c r="B885" s="52"/>
      <c r="C885" s="54"/>
      <c r="D885" s="54"/>
      <c r="E885" s="54"/>
      <c r="F885" s="54"/>
      <c r="G885" s="54"/>
      <c r="H885" s="54"/>
      <c r="I885" s="54"/>
      <c r="J885" s="31"/>
      <c r="K885" s="31"/>
      <c r="L885" s="28"/>
    </row>
    <row r="886" spans="1:12" x14ac:dyDescent="0.2">
      <c r="A886" s="55" t="s">
        <v>16</v>
      </c>
      <c r="B886" s="56"/>
      <c r="C886" s="56"/>
      <c r="D886" s="56"/>
      <c r="E886" s="56"/>
      <c r="F886" s="56"/>
      <c r="G886" s="56"/>
      <c r="H886" s="56"/>
      <c r="I886" s="57"/>
      <c r="J886" s="36">
        <f t="shared" ref="J886:L886" si="261">SUM(J883:J885)</f>
        <v>1</v>
      </c>
      <c r="K886" s="36">
        <f t="shared" si="261"/>
        <v>0</v>
      </c>
      <c r="L886" s="36">
        <f t="shared" si="261"/>
        <v>0</v>
      </c>
    </row>
    <row r="887" spans="1:12" x14ac:dyDescent="0.2">
      <c r="A887" s="27">
        <v>141</v>
      </c>
      <c r="B887" s="28"/>
      <c r="C887" s="43" t="s">
        <v>282</v>
      </c>
      <c r="D887" s="29" t="s">
        <v>80</v>
      </c>
      <c r="E887" s="30" t="s">
        <v>388</v>
      </c>
      <c r="F887" s="31"/>
      <c r="G887" s="31"/>
      <c r="H887" s="31" t="s">
        <v>14</v>
      </c>
      <c r="I887" s="31">
        <v>1</v>
      </c>
      <c r="J887" s="32">
        <f t="shared" ref="J887:K887" si="262">+J892</f>
        <v>0</v>
      </c>
      <c r="K887" s="33">
        <f t="shared" si="262"/>
        <v>0</v>
      </c>
      <c r="L887" s="37">
        <f>+I887+J887-K887</f>
        <v>1</v>
      </c>
    </row>
    <row r="888" spans="1:12" x14ac:dyDescent="0.2">
      <c r="A888" s="58" t="s">
        <v>15</v>
      </c>
      <c r="B888" s="58"/>
      <c r="C888" s="59" t="s">
        <v>3</v>
      </c>
      <c r="D888" s="59"/>
      <c r="E888" s="59"/>
      <c r="F888" s="59"/>
      <c r="G888" s="59"/>
      <c r="H888" s="59"/>
      <c r="I888" s="59"/>
      <c r="J888" s="35" t="s">
        <v>8</v>
      </c>
      <c r="K888" s="35" t="s">
        <v>9</v>
      </c>
      <c r="L888" s="35" t="s">
        <v>10</v>
      </c>
    </row>
    <row r="889" spans="1:12" x14ac:dyDescent="0.2">
      <c r="A889" s="52"/>
      <c r="B889" s="52"/>
      <c r="C889" s="54"/>
      <c r="D889" s="54"/>
      <c r="E889" s="54"/>
      <c r="F889" s="54"/>
      <c r="G889" s="54"/>
      <c r="H889" s="54"/>
      <c r="I889" s="54"/>
      <c r="J889" s="31"/>
      <c r="K889" s="31"/>
      <c r="L889" s="28"/>
    </row>
    <row r="890" spans="1:12" x14ac:dyDescent="0.2">
      <c r="A890" s="52"/>
      <c r="B890" s="52"/>
      <c r="C890" s="54"/>
      <c r="D890" s="54"/>
      <c r="E890" s="54"/>
      <c r="F890" s="54"/>
      <c r="G890" s="54"/>
      <c r="H890" s="54"/>
      <c r="I890" s="54"/>
      <c r="J890" s="31"/>
      <c r="K890" s="31"/>
      <c r="L890" s="28"/>
    </row>
    <row r="891" spans="1:12" x14ac:dyDescent="0.2">
      <c r="A891" s="52"/>
      <c r="B891" s="52"/>
      <c r="C891" s="54"/>
      <c r="D891" s="54"/>
      <c r="E891" s="54"/>
      <c r="F891" s="54"/>
      <c r="G891" s="54"/>
      <c r="H891" s="54"/>
      <c r="I891" s="54"/>
      <c r="J891" s="31"/>
      <c r="K891" s="31"/>
      <c r="L891" s="28"/>
    </row>
    <row r="892" spans="1:12" x14ac:dyDescent="0.2">
      <c r="A892" s="55" t="s">
        <v>16</v>
      </c>
      <c r="B892" s="56"/>
      <c r="C892" s="56"/>
      <c r="D892" s="56"/>
      <c r="E892" s="56"/>
      <c r="F892" s="56"/>
      <c r="G892" s="56"/>
      <c r="H892" s="56"/>
      <c r="I892" s="57"/>
      <c r="J892" s="36">
        <f t="shared" ref="J892:L892" si="263">SUM(J889:J891)</f>
        <v>0</v>
      </c>
      <c r="K892" s="36">
        <f t="shared" si="263"/>
        <v>0</v>
      </c>
      <c r="L892" s="36">
        <f t="shared" si="263"/>
        <v>0</v>
      </c>
    </row>
    <row r="893" spans="1:12" x14ac:dyDescent="0.2">
      <c r="A893" s="27">
        <v>142</v>
      </c>
      <c r="B893" s="28"/>
      <c r="C893" s="43" t="s">
        <v>282</v>
      </c>
      <c r="D893" s="29" t="s">
        <v>81</v>
      </c>
      <c r="E893" s="30" t="s">
        <v>388</v>
      </c>
      <c r="F893" s="31"/>
      <c r="G893" s="31"/>
      <c r="H893" s="31" t="s">
        <v>14</v>
      </c>
      <c r="I893" s="31">
        <v>1</v>
      </c>
      <c r="J893" s="32">
        <f t="shared" ref="J893:K893" si="264">+J898</f>
        <v>0</v>
      </c>
      <c r="K893" s="33">
        <f t="shared" si="264"/>
        <v>0</v>
      </c>
      <c r="L893" s="38">
        <f>+I893+J893-K893</f>
        <v>1</v>
      </c>
    </row>
    <row r="894" spans="1:12" x14ac:dyDescent="0.2">
      <c r="A894" s="58" t="s">
        <v>15</v>
      </c>
      <c r="B894" s="58"/>
      <c r="C894" s="59" t="s">
        <v>3</v>
      </c>
      <c r="D894" s="59"/>
      <c r="E894" s="59"/>
      <c r="F894" s="59"/>
      <c r="G894" s="59"/>
      <c r="H894" s="59"/>
      <c r="I894" s="59"/>
      <c r="J894" s="35" t="s">
        <v>8</v>
      </c>
      <c r="K894" s="35" t="s">
        <v>9</v>
      </c>
      <c r="L894" s="35" t="s">
        <v>10</v>
      </c>
    </row>
    <row r="895" spans="1:12" x14ac:dyDescent="0.2">
      <c r="A895" s="52"/>
      <c r="B895" s="52"/>
      <c r="C895" s="54"/>
      <c r="D895" s="54"/>
      <c r="E895" s="54"/>
      <c r="F895" s="54"/>
      <c r="G895" s="54"/>
      <c r="H895" s="54"/>
      <c r="I895" s="54"/>
      <c r="J895" s="31"/>
      <c r="K895" s="31"/>
      <c r="L895" s="28"/>
    </row>
    <row r="896" spans="1:12" x14ac:dyDescent="0.2">
      <c r="A896" s="52"/>
      <c r="B896" s="52"/>
      <c r="C896" s="54"/>
      <c r="D896" s="54"/>
      <c r="E896" s="54"/>
      <c r="F896" s="54"/>
      <c r="G896" s="54"/>
      <c r="H896" s="54"/>
      <c r="I896" s="54"/>
      <c r="J896" s="31"/>
      <c r="K896" s="31"/>
      <c r="L896" s="28"/>
    </row>
    <row r="897" spans="1:12" x14ac:dyDescent="0.2">
      <c r="A897" s="52"/>
      <c r="B897" s="52"/>
      <c r="C897" s="54"/>
      <c r="D897" s="54"/>
      <c r="E897" s="54"/>
      <c r="F897" s="54"/>
      <c r="G897" s="54"/>
      <c r="H897" s="54"/>
      <c r="I897" s="54"/>
      <c r="J897" s="31"/>
      <c r="K897" s="31"/>
      <c r="L897" s="28"/>
    </row>
    <row r="898" spans="1:12" x14ac:dyDescent="0.2">
      <c r="A898" s="55" t="s">
        <v>16</v>
      </c>
      <c r="B898" s="56"/>
      <c r="C898" s="56"/>
      <c r="D898" s="56"/>
      <c r="E898" s="56"/>
      <c r="F898" s="56"/>
      <c r="G898" s="56"/>
      <c r="H898" s="56"/>
      <c r="I898" s="57"/>
      <c r="J898" s="36">
        <f t="shared" ref="J898:L898" si="265">SUM(J895:J897)</f>
        <v>0</v>
      </c>
      <c r="K898" s="36">
        <f t="shared" si="265"/>
        <v>0</v>
      </c>
      <c r="L898" s="36">
        <f t="shared" si="265"/>
        <v>0</v>
      </c>
    </row>
    <row r="899" spans="1:12" x14ac:dyDescent="0.2">
      <c r="A899" s="27">
        <v>143</v>
      </c>
      <c r="B899" s="28"/>
      <c r="C899" s="43" t="s">
        <v>282</v>
      </c>
      <c r="D899" s="29" t="s">
        <v>82</v>
      </c>
      <c r="E899" s="30" t="s">
        <v>388</v>
      </c>
      <c r="F899" s="31"/>
      <c r="G899" s="31"/>
      <c r="H899" s="31" t="s">
        <v>14</v>
      </c>
      <c r="I899" s="31">
        <v>2</v>
      </c>
      <c r="J899" s="32">
        <f t="shared" ref="J899:K899" si="266">+J904</f>
        <v>1</v>
      </c>
      <c r="K899" s="33">
        <f t="shared" si="266"/>
        <v>0</v>
      </c>
      <c r="L899" s="37">
        <f>+I899+J899-K899</f>
        <v>3</v>
      </c>
    </row>
    <row r="900" spans="1:12" x14ac:dyDescent="0.2">
      <c r="A900" s="58" t="s">
        <v>15</v>
      </c>
      <c r="B900" s="58"/>
      <c r="C900" s="59" t="s">
        <v>3</v>
      </c>
      <c r="D900" s="59"/>
      <c r="E900" s="59"/>
      <c r="F900" s="59"/>
      <c r="G900" s="59"/>
      <c r="H900" s="59"/>
      <c r="I900" s="59"/>
      <c r="J900" s="35" t="s">
        <v>8</v>
      </c>
      <c r="K900" s="35" t="s">
        <v>9</v>
      </c>
      <c r="L900" s="35" t="s">
        <v>10</v>
      </c>
    </row>
    <row r="901" spans="1:12" x14ac:dyDescent="0.2">
      <c r="A901" s="52">
        <v>46107</v>
      </c>
      <c r="B901" s="52"/>
      <c r="C901" s="61" t="s">
        <v>363</v>
      </c>
      <c r="D901" s="54"/>
      <c r="E901" s="54"/>
      <c r="F901" s="54"/>
      <c r="G901" s="54"/>
      <c r="H901" s="54"/>
      <c r="I901" s="54"/>
      <c r="J901" s="31">
        <v>1</v>
      </c>
      <c r="K901" s="31"/>
      <c r="L901" s="28"/>
    </row>
    <row r="902" spans="1:12" x14ac:dyDescent="0.2">
      <c r="A902" s="52"/>
      <c r="B902" s="52"/>
      <c r="C902" s="54"/>
      <c r="D902" s="54"/>
      <c r="E902" s="54"/>
      <c r="F902" s="54"/>
      <c r="G902" s="54"/>
      <c r="H902" s="54"/>
      <c r="I902" s="54"/>
      <c r="J902" s="31"/>
      <c r="K902" s="31"/>
      <c r="L902" s="28"/>
    </row>
    <row r="903" spans="1:12" x14ac:dyDescent="0.2">
      <c r="A903" s="52"/>
      <c r="B903" s="52"/>
      <c r="C903" s="54"/>
      <c r="D903" s="54"/>
      <c r="E903" s="54"/>
      <c r="F903" s="54"/>
      <c r="G903" s="54"/>
      <c r="H903" s="54"/>
      <c r="I903" s="54"/>
      <c r="J903" s="31"/>
      <c r="K903" s="31"/>
      <c r="L903" s="28"/>
    </row>
    <row r="904" spans="1:12" x14ac:dyDescent="0.2">
      <c r="A904" s="55" t="s">
        <v>16</v>
      </c>
      <c r="B904" s="56"/>
      <c r="C904" s="56"/>
      <c r="D904" s="56"/>
      <c r="E904" s="56"/>
      <c r="F904" s="56"/>
      <c r="G904" s="56"/>
      <c r="H904" s="56"/>
      <c r="I904" s="57"/>
      <c r="J904" s="36">
        <f t="shared" ref="J904:L904" si="267">SUM(J901:J903)</f>
        <v>1</v>
      </c>
      <c r="K904" s="36">
        <f t="shared" si="267"/>
        <v>0</v>
      </c>
      <c r="L904" s="36">
        <f t="shared" si="267"/>
        <v>0</v>
      </c>
    </row>
    <row r="905" spans="1:12" x14ac:dyDescent="0.2">
      <c r="A905" s="27">
        <v>144</v>
      </c>
      <c r="B905" s="28"/>
      <c r="C905" s="28" t="s">
        <v>282</v>
      </c>
      <c r="D905" s="29" t="s">
        <v>324</v>
      </c>
      <c r="E905" s="30" t="s">
        <v>388</v>
      </c>
      <c r="F905" s="31"/>
      <c r="G905" s="31"/>
      <c r="H905" s="31" t="s">
        <v>14</v>
      </c>
      <c r="I905" s="31">
        <v>0</v>
      </c>
      <c r="J905" s="32">
        <f t="shared" ref="J905:K905" si="268">+J910</f>
        <v>1</v>
      </c>
      <c r="K905" s="33">
        <f t="shared" si="268"/>
        <v>0</v>
      </c>
      <c r="L905" s="37">
        <f>+I905+J905-K905</f>
        <v>1</v>
      </c>
    </row>
    <row r="906" spans="1:12" x14ac:dyDescent="0.2">
      <c r="A906" s="58" t="s">
        <v>15</v>
      </c>
      <c r="B906" s="58"/>
      <c r="C906" s="59" t="s">
        <v>3</v>
      </c>
      <c r="D906" s="59"/>
      <c r="E906" s="59"/>
      <c r="F906" s="59"/>
      <c r="G906" s="59"/>
      <c r="H906" s="59"/>
      <c r="I906" s="59"/>
      <c r="J906" s="35" t="s">
        <v>8</v>
      </c>
      <c r="K906" s="35" t="s">
        <v>9</v>
      </c>
      <c r="L906" s="35" t="s">
        <v>10</v>
      </c>
    </row>
    <row r="907" spans="1:12" x14ac:dyDescent="0.2">
      <c r="A907" s="52">
        <v>46052</v>
      </c>
      <c r="B907" s="52"/>
      <c r="C907" s="54" t="s">
        <v>277</v>
      </c>
      <c r="D907" s="54"/>
      <c r="E907" s="54"/>
      <c r="F907" s="54"/>
      <c r="G907" s="54"/>
      <c r="H907" s="54"/>
      <c r="I907" s="54"/>
      <c r="J907" s="31">
        <v>1</v>
      </c>
      <c r="K907" s="31"/>
      <c r="L907" s="28"/>
    </row>
    <row r="908" spans="1:12" x14ac:dyDescent="0.2">
      <c r="A908" s="52"/>
      <c r="B908" s="52"/>
      <c r="C908" s="54"/>
      <c r="D908" s="54"/>
      <c r="E908" s="54"/>
      <c r="F908" s="54"/>
      <c r="G908" s="54"/>
      <c r="H908" s="54"/>
      <c r="I908" s="54"/>
      <c r="J908" s="31"/>
      <c r="K908" s="31"/>
      <c r="L908" s="28"/>
    </row>
    <row r="909" spans="1:12" x14ac:dyDescent="0.2">
      <c r="A909" s="52"/>
      <c r="B909" s="52"/>
      <c r="C909" s="54"/>
      <c r="D909" s="54"/>
      <c r="E909" s="54"/>
      <c r="F909" s="54"/>
      <c r="G909" s="54"/>
      <c r="H909" s="54"/>
      <c r="I909" s="54"/>
      <c r="J909" s="31"/>
      <c r="K909" s="31"/>
      <c r="L909" s="28"/>
    </row>
    <row r="910" spans="1:12" x14ac:dyDescent="0.2">
      <c r="A910" s="62" t="s">
        <v>16</v>
      </c>
      <c r="B910" s="62"/>
      <c r="C910" s="62"/>
      <c r="D910" s="62"/>
      <c r="E910" s="62"/>
      <c r="F910" s="62"/>
      <c r="G910" s="62"/>
      <c r="H910" s="62"/>
      <c r="I910" s="62"/>
      <c r="J910" s="36">
        <f t="shared" ref="J910:L910" si="269">SUM(J907:J909)</f>
        <v>1</v>
      </c>
      <c r="K910" s="36">
        <f t="shared" si="269"/>
        <v>0</v>
      </c>
      <c r="L910" s="36">
        <f t="shared" si="269"/>
        <v>0</v>
      </c>
    </row>
    <row r="911" spans="1:12" x14ac:dyDescent="0.2">
      <c r="A911" s="27">
        <v>145</v>
      </c>
      <c r="B911" s="28"/>
      <c r="C911" s="28" t="s">
        <v>282</v>
      </c>
      <c r="D911" s="46" t="s">
        <v>397</v>
      </c>
      <c r="E911" s="30" t="s">
        <v>388</v>
      </c>
      <c r="F911" s="31"/>
      <c r="G911" s="31"/>
      <c r="H911" s="31" t="s">
        <v>14</v>
      </c>
      <c r="I911" s="31">
        <v>0</v>
      </c>
      <c r="J911" s="32">
        <f t="shared" ref="J911:K911" si="270">+J916</f>
        <v>3</v>
      </c>
      <c r="K911" s="33">
        <f t="shared" si="270"/>
        <v>0</v>
      </c>
      <c r="L911" s="37">
        <f>+I911+J911-K911</f>
        <v>3</v>
      </c>
    </row>
    <row r="912" spans="1:12" x14ac:dyDescent="0.2">
      <c r="A912" s="58" t="s">
        <v>15</v>
      </c>
      <c r="B912" s="58"/>
      <c r="C912" s="59" t="s">
        <v>3</v>
      </c>
      <c r="D912" s="59"/>
      <c r="E912" s="59"/>
      <c r="F912" s="59"/>
      <c r="G912" s="59"/>
      <c r="H912" s="59"/>
      <c r="I912" s="59"/>
      <c r="J912" s="35" t="s">
        <v>8</v>
      </c>
      <c r="K912" s="35" t="s">
        <v>9</v>
      </c>
      <c r="L912" s="35" t="s">
        <v>10</v>
      </c>
    </row>
    <row r="913" spans="1:12" x14ac:dyDescent="0.2">
      <c r="A913" s="52">
        <v>46107</v>
      </c>
      <c r="B913" s="52"/>
      <c r="C913" s="61" t="s">
        <v>363</v>
      </c>
      <c r="D913" s="54"/>
      <c r="E913" s="54"/>
      <c r="F913" s="54"/>
      <c r="G913" s="54"/>
      <c r="H913" s="54"/>
      <c r="I913" s="54"/>
      <c r="J913" s="31">
        <v>3</v>
      </c>
      <c r="K913" s="31"/>
      <c r="L913" s="28"/>
    </row>
    <row r="914" spans="1:12" x14ac:dyDescent="0.2">
      <c r="A914" s="52"/>
      <c r="B914" s="52"/>
      <c r="C914" s="54"/>
      <c r="D914" s="54"/>
      <c r="E914" s="54"/>
      <c r="F914" s="54"/>
      <c r="G914" s="54"/>
      <c r="H914" s="54"/>
      <c r="I914" s="54"/>
      <c r="J914" s="31"/>
      <c r="K914" s="31"/>
      <c r="L914" s="28"/>
    </row>
    <row r="915" spans="1:12" x14ac:dyDescent="0.2">
      <c r="A915" s="52"/>
      <c r="B915" s="52"/>
      <c r="C915" s="54"/>
      <c r="D915" s="54"/>
      <c r="E915" s="54"/>
      <c r="F915" s="54"/>
      <c r="G915" s="54"/>
      <c r="H915" s="54"/>
      <c r="I915" s="54"/>
      <c r="J915" s="31"/>
      <c r="K915" s="31"/>
      <c r="L915" s="28"/>
    </row>
    <row r="916" spans="1:12" x14ac:dyDescent="0.2">
      <c r="A916" s="62" t="s">
        <v>16</v>
      </c>
      <c r="B916" s="62"/>
      <c r="C916" s="62"/>
      <c r="D916" s="62"/>
      <c r="E916" s="62"/>
      <c r="F916" s="62"/>
      <c r="G916" s="62"/>
      <c r="H916" s="62"/>
      <c r="I916" s="62"/>
      <c r="J916" s="36">
        <f t="shared" ref="J916:L916" si="271">SUM(J913:J915)</f>
        <v>3</v>
      </c>
      <c r="K916" s="36">
        <f t="shared" si="271"/>
        <v>0</v>
      </c>
      <c r="L916" s="36">
        <f t="shared" si="271"/>
        <v>0</v>
      </c>
    </row>
    <row r="917" spans="1:12" x14ac:dyDescent="0.2">
      <c r="A917" s="27">
        <v>146</v>
      </c>
      <c r="B917" s="28"/>
      <c r="C917" s="28" t="s">
        <v>282</v>
      </c>
      <c r="D917" s="29" t="s">
        <v>298</v>
      </c>
      <c r="E917" s="30" t="s">
        <v>388</v>
      </c>
      <c r="F917" s="31"/>
      <c r="G917" s="31"/>
      <c r="H917" s="31" t="s">
        <v>14</v>
      </c>
      <c r="I917" s="31">
        <v>1</v>
      </c>
      <c r="J917" s="32">
        <f t="shared" ref="J917:K917" si="272">+J922</f>
        <v>3</v>
      </c>
      <c r="K917" s="33">
        <f t="shared" si="272"/>
        <v>0</v>
      </c>
      <c r="L917" s="34">
        <f>+I917+J917-K917</f>
        <v>4</v>
      </c>
    </row>
    <row r="918" spans="1:12" x14ac:dyDescent="0.2">
      <c r="A918" s="58" t="s">
        <v>15</v>
      </c>
      <c r="B918" s="58"/>
      <c r="C918" s="59" t="s">
        <v>3</v>
      </c>
      <c r="D918" s="59"/>
      <c r="E918" s="59"/>
      <c r="F918" s="59"/>
      <c r="G918" s="59"/>
      <c r="H918" s="59"/>
      <c r="I918" s="59"/>
      <c r="J918" s="35" t="s">
        <v>8</v>
      </c>
      <c r="K918" s="35" t="s">
        <v>9</v>
      </c>
      <c r="L918" s="35" t="s">
        <v>10</v>
      </c>
    </row>
    <row r="919" spans="1:12" x14ac:dyDescent="0.2">
      <c r="A919" s="52">
        <v>46052</v>
      </c>
      <c r="B919" s="52"/>
      <c r="C919" s="54" t="s">
        <v>277</v>
      </c>
      <c r="D919" s="54"/>
      <c r="E919" s="54"/>
      <c r="F919" s="54"/>
      <c r="G919" s="54"/>
      <c r="H919" s="54"/>
      <c r="I919" s="54"/>
      <c r="J919" s="31">
        <v>3</v>
      </c>
      <c r="K919" s="31"/>
      <c r="L919" s="28"/>
    </row>
    <row r="920" spans="1:12" x14ac:dyDescent="0.2">
      <c r="A920" s="52"/>
      <c r="B920" s="52"/>
      <c r="C920" s="54"/>
      <c r="D920" s="54"/>
      <c r="E920" s="54"/>
      <c r="F920" s="54"/>
      <c r="G920" s="54"/>
      <c r="H920" s="54"/>
      <c r="I920" s="54"/>
      <c r="J920" s="31"/>
      <c r="K920" s="31"/>
      <c r="L920" s="28"/>
    </row>
    <row r="921" spans="1:12" x14ac:dyDescent="0.2">
      <c r="A921" s="52"/>
      <c r="B921" s="52"/>
      <c r="C921" s="54"/>
      <c r="D921" s="54"/>
      <c r="E921" s="54"/>
      <c r="F921" s="54"/>
      <c r="G921" s="54"/>
      <c r="H921" s="54"/>
      <c r="I921" s="54"/>
      <c r="J921" s="31"/>
      <c r="K921" s="31"/>
      <c r="L921" s="28"/>
    </row>
    <row r="922" spans="1:12" x14ac:dyDescent="0.2">
      <c r="A922" s="55" t="s">
        <v>16</v>
      </c>
      <c r="B922" s="56"/>
      <c r="C922" s="56"/>
      <c r="D922" s="56"/>
      <c r="E922" s="56"/>
      <c r="F922" s="56"/>
      <c r="G922" s="56"/>
      <c r="H922" s="56"/>
      <c r="I922" s="57"/>
      <c r="J922" s="36">
        <f t="shared" ref="J922:L922" si="273">SUM(J919:J921)</f>
        <v>3</v>
      </c>
      <c r="K922" s="36">
        <f t="shared" si="273"/>
        <v>0</v>
      </c>
      <c r="L922" s="36">
        <f t="shared" si="273"/>
        <v>0</v>
      </c>
    </row>
    <row r="923" spans="1:12" x14ac:dyDescent="0.2">
      <c r="A923" s="27">
        <v>147</v>
      </c>
      <c r="B923" s="28"/>
      <c r="C923" s="28" t="s">
        <v>282</v>
      </c>
      <c r="D923" s="46" t="s">
        <v>398</v>
      </c>
      <c r="E923" s="30" t="s">
        <v>388</v>
      </c>
      <c r="F923" s="31"/>
      <c r="G923" s="31"/>
      <c r="H923" s="31" t="s">
        <v>14</v>
      </c>
      <c r="I923" s="31">
        <v>0</v>
      </c>
      <c r="J923" s="32">
        <f t="shared" ref="J923:K923" si="274">+J928</f>
        <v>1</v>
      </c>
      <c r="K923" s="33">
        <f t="shared" si="274"/>
        <v>0</v>
      </c>
      <c r="L923" s="34">
        <f>+I923+J923-K923</f>
        <v>1</v>
      </c>
    </row>
    <row r="924" spans="1:12" x14ac:dyDescent="0.2">
      <c r="A924" s="58" t="s">
        <v>15</v>
      </c>
      <c r="B924" s="58"/>
      <c r="C924" s="59" t="s">
        <v>3</v>
      </c>
      <c r="D924" s="59"/>
      <c r="E924" s="59"/>
      <c r="F924" s="59"/>
      <c r="G924" s="59"/>
      <c r="H924" s="59"/>
      <c r="I924" s="59"/>
      <c r="J924" s="35" t="s">
        <v>8</v>
      </c>
      <c r="K924" s="35" t="s">
        <v>9</v>
      </c>
      <c r="L924" s="35" t="s">
        <v>10</v>
      </c>
    </row>
    <row r="925" spans="1:12" x14ac:dyDescent="0.2">
      <c r="A925" s="52">
        <v>46107</v>
      </c>
      <c r="B925" s="52"/>
      <c r="C925" s="61" t="s">
        <v>363</v>
      </c>
      <c r="D925" s="54"/>
      <c r="E925" s="54"/>
      <c r="F925" s="54"/>
      <c r="G925" s="54"/>
      <c r="H925" s="54"/>
      <c r="I925" s="54"/>
      <c r="J925" s="31">
        <v>1</v>
      </c>
      <c r="K925" s="31"/>
      <c r="L925" s="28"/>
    </row>
    <row r="926" spans="1:12" x14ac:dyDescent="0.2">
      <c r="A926" s="52"/>
      <c r="B926" s="52"/>
      <c r="C926" s="54"/>
      <c r="D926" s="54"/>
      <c r="E926" s="54"/>
      <c r="F926" s="54"/>
      <c r="G926" s="54"/>
      <c r="H926" s="54"/>
      <c r="I926" s="54"/>
      <c r="J926" s="31"/>
      <c r="K926" s="31"/>
      <c r="L926" s="28"/>
    </row>
    <row r="927" spans="1:12" x14ac:dyDescent="0.2">
      <c r="A927" s="52"/>
      <c r="B927" s="52"/>
      <c r="C927" s="54"/>
      <c r="D927" s="54"/>
      <c r="E927" s="54"/>
      <c r="F927" s="54"/>
      <c r="G927" s="54"/>
      <c r="H927" s="54"/>
      <c r="I927" s="54"/>
      <c r="J927" s="31"/>
      <c r="K927" s="31"/>
      <c r="L927" s="28"/>
    </row>
    <row r="928" spans="1:12" x14ac:dyDescent="0.2">
      <c r="A928" s="55" t="s">
        <v>16</v>
      </c>
      <c r="B928" s="56"/>
      <c r="C928" s="56"/>
      <c r="D928" s="56"/>
      <c r="E928" s="56"/>
      <c r="F928" s="56"/>
      <c r="G928" s="56"/>
      <c r="H928" s="56"/>
      <c r="I928" s="57"/>
      <c r="J928" s="36">
        <f t="shared" ref="J928:L928" si="275">SUM(J925:J927)</f>
        <v>1</v>
      </c>
      <c r="K928" s="36">
        <f t="shared" si="275"/>
        <v>0</v>
      </c>
      <c r="L928" s="36">
        <f t="shared" si="275"/>
        <v>0</v>
      </c>
    </row>
    <row r="929" spans="1:12" x14ac:dyDescent="0.2">
      <c r="A929" s="27">
        <v>148</v>
      </c>
      <c r="B929" s="28"/>
      <c r="C929" s="28" t="s">
        <v>282</v>
      </c>
      <c r="D929" s="46" t="s">
        <v>276</v>
      </c>
      <c r="E929" s="30" t="s">
        <v>388</v>
      </c>
      <c r="F929" s="31"/>
      <c r="G929" s="31"/>
      <c r="H929" s="31" t="s">
        <v>14</v>
      </c>
      <c r="I929" s="31">
        <v>0</v>
      </c>
      <c r="J929" s="32">
        <f t="shared" ref="J929:K929" si="276">+J934</f>
        <v>2</v>
      </c>
      <c r="K929" s="33">
        <f t="shared" si="276"/>
        <v>0</v>
      </c>
      <c r="L929" s="34">
        <f>+I929+J929-K929</f>
        <v>2</v>
      </c>
    </row>
    <row r="930" spans="1:12" x14ac:dyDescent="0.2">
      <c r="A930" s="58" t="s">
        <v>15</v>
      </c>
      <c r="B930" s="58"/>
      <c r="C930" s="59" t="s">
        <v>3</v>
      </c>
      <c r="D930" s="59"/>
      <c r="E930" s="59"/>
      <c r="F930" s="59"/>
      <c r="G930" s="59"/>
      <c r="H930" s="59"/>
      <c r="I930" s="59"/>
      <c r="J930" s="35" t="s">
        <v>8</v>
      </c>
      <c r="K930" s="35" t="s">
        <v>9</v>
      </c>
      <c r="L930" s="35" t="s">
        <v>10</v>
      </c>
    </row>
    <row r="931" spans="1:12" x14ac:dyDescent="0.2">
      <c r="A931" s="52">
        <v>46107</v>
      </c>
      <c r="B931" s="52"/>
      <c r="C931" s="61" t="s">
        <v>363</v>
      </c>
      <c r="D931" s="54"/>
      <c r="E931" s="54"/>
      <c r="F931" s="54"/>
      <c r="G931" s="54"/>
      <c r="H931" s="54"/>
      <c r="I931" s="54"/>
      <c r="J931" s="31">
        <v>2</v>
      </c>
      <c r="K931" s="31"/>
      <c r="L931" s="28"/>
    </row>
    <row r="932" spans="1:12" x14ac:dyDescent="0.2">
      <c r="A932" s="52"/>
      <c r="B932" s="52"/>
      <c r="C932" s="54"/>
      <c r="D932" s="54"/>
      <c r="E932" s="54"/>
      <c r="F932" s="54"/>
      <c r="G932" s="54"/>
      <c r="H932" s="54"/>
      <c r="I932" s="54"/>
      <c r="J932" s="31"/>
      <c r="K932" s="31"/>
      <c r="L932" s="28"/>
    </row>
    <row r="933" spans="1:12" x14ac:dyDescent="0.2">
      <c r="A933" s="52"/>
      <c r="B933" s="52"/>
      <c r="C933" s="54"/>
      <c r="D933" s="54"/>
      <c r="E933" s="54"/>
      <c r="F933" s="54"/>
      <c r="G933" s="54"/>
      <c r="H933" s="54"/>
      <c r="I933" s="54"/>
      <c r="J933" s="31"/>
      <c r="K933" s="31"/>
      <c r="L933" s="28"/>
    </row>
    <row r="934" spans="1:12" x14ac:dyDescent="0.2">
      <c r="A934" s="55" t="s">
        <v>16</v>
      </c>
      <c r="B934" s="56"/>
      <c r="C934" s="56"/>
      <c r="D934" s="56"/>
      <c r="E934" s="56"/>
      <c r="F934" s="56"/>
      <c r="G934" s="56"/>
      <c r="H934" s="56"/>
      <c r="I934" s="57"/>
      <c r="J934" s="36">
        <f t="shared" ref="J934:L934" si="277">SUM(J931:J933)</f>
        <v>2</v>
      </c>
      <c r="K934" s="36">
        <f t="shared" si="277"/>
        <v>0</v>
      </c>
      <c r="L934" s="36">
        <f t="shared" si="277"/>
        <v>0</v>
      </c>
    </row>
    <row r="935" spans="1:12" x14ac:dyDescent="0.2">
      <c r="A935" s="27">
        <v>149</v>
      </c>
      <c r="B935" s="28"/>
      <c r="C935" s="43" t="s">
        <v>282</v>
      </c>
      <c r="D935" s="29" t="s">
        <v>83</v>
      </c>
      <c r="E935" s="30" t="s">
        <v>388</v>
      </c>
      <c r="F935" s="31"/>
      <c r="G935" s="31"/>
      <c r="H935" s="31" t="s">
        <v>14</v>
      </c>
      <c r="I935" s="31">
        <v>6</v>
      </c>
      <c r="J935" s="32">
        <f t="shared" ref="J935:K935" si="278">+J940</f>
        <v>14</v>
      </c>
      <c r="K935" s="33">
        <f t="shared" si="278"/>
        <v>0</v>
      </c>
      <c r="L935" s="38">
        <f>+I935+J935-K935</f>
        <v>20</v>
      </c>
    </row>
    <row r="936" spans="1:12" x14ac:dyDescent="0.2">
      <c r="A936" s="58" t="s">
        <v>15</v>
      </c>
      <c r="B936" s="58"/>
      <c r="C936" s="59" t="s">
        <v>3</v>
      </c>
      <c r="D936" s="59"/>
      <c r="E936" s="59"/>
      <c r="F936" s="59"/>
      <c r="G936" s="59"/>
      <c r="H936" s="59"/>
      <c r="I936" s="59"/>
      <c r="J936" s="35" t="s">
        <v>8</v>
      </c>
      <c r="K936" s="35" t="s">
        <v>9</v>
      </c>
      <c r="L936" s="35" t="s">
        <v>10</v>
      </c>
    </row>
    <row r="937" spans="1:12" x14ac:dyDescent="0.2">
      <c r="A937" s="52">
        <v>46107</v>
      </c>
      <c r="B937" s="52"/>
      <c r="C937" s="61" t="s">
        <v>363</v>
      </c>
      <c r="D937" s="54"/>
      <c r="E937" s="54"/>
      <c r="F937" s="54"/>
      <c r="G937" s="54"/>
      <c r="H937" s="54"/>
      <c r="I937" s="54"/>
      <c r="J937" s="31">
        <v>14</v>
      </c>
      <c r="K937" s="31"/>
      <c r="L937" s="28"/>
    </row>
    <row r="938" spans="1:12" x14ac:dyDescent="0.2">
      <c r="A938" s="52"/>
      <c r="B938" s="52"/>
      <c r="C938" s="54"/>
      <c r="D938" s="54"/>
      <c r="E938" s="54"/>
      <c r="F938" s="54"/>
      <c r="G938" s="54"/>
      <c r="H938" s="54"/>
      <c r="I938" s="54"/>
      <c r="J938" s="31"/>
      <c r="K938" s="31"/>
      <c r="L938" s="28"/>
    </row>
    <row r="939" spans="1:12" x14ac:dyDescent="0.2">
      <c r="A939" s="52"/>
      <c r="B939" s="52"/>
      <c r="C939" s="54"/>
      <c r="D939" s="54"/>
      <c r="E939" s="54"/>
      <c r="F939" s="54"/>
      <c r="G939" s="54"/>
      <c r="H939" s="54"/>
      <c r="I939" s="54"/>
      <c r="J939" s="31"/>
      <c r="K939" s="31"/>
      <c r="L939" s="28"/>
    </row>
    <row r="940" spans="1:12" x14ac:dyDescent="0.2">
      <c r="A940" s="55" t="s">
        <v>16</v>
      </c>
      <c r="B940" s="56"/>
      <c r="C940" s="56"/>
      <c r="D940" s="56"/>
      <c r="E940" s="56"/>
      <c r="F940" s="56"/>
      <c r="G940" s="56"/>
      <c r="H940" s="56"/>
      <c r="I940" s="57"/>
      <c r="J940" s="36">
        <f t="shared" ref="J940:L940" si="279">SUM(J937:J939)</f>
        <v>14</v>
      </c>
      <c r="K940" s="36">
        <f t="shared" si="279"/>
        <v>0</v>
      </c>
      <c r="L940" s="36">
        <f t="shared" si="279"/>
        <v>0</v>
      </c>
    </row>
    <row r="941" spans="1:12" x14ac:dyDescent="0.2">
      <c r="A941" s="27">
        <v>150</v>
      </c>
      <c r="B941" s="28"/>
      <c r="C941" s="47" t="s">
        <v>282</v>
      </c>
      <c r="D941" s="29" t="s">
        <v>311</v>
      </c>
      <c r="E941" s="30" t="s">
        <v>388</v>
      </c>
      <c r="F941" s="31"/>
      <c r="G941" s="31"/>
      <c r="H941" s="31" t="s">
        <v>14</v>
      </c>
      <c r="I941" s="31">
        <v>0</v>
      </c>
      <c r="J941" s="32">
        <f t="shared" ref="J941:K941" si="280">+J946</f>
        <v>12</v>
      </c>
      <c r="K941" s="33">
        <f t="shared" si="280"/>
        <v>0</v>
      </c>
      <c r="L941" s="34">
        <f>+I941+J941-K941</f>
        <v>12</v>
      </c>
    </row>
    <row r="942" spans="1:12" x14ac:dyDescent="0.2">
      <c r="A942" s="58" t="s">
        <v>15</v>
      </c>
      <c r="B942" s="58"/>
      <c r="C942" s="59" t="s">
        <v>3</v>
      </c>
      <c r="D942" s="59"/>
      <c r="E942" s="59"/>
      <c r="F942" s="59"/>
      <c r="G942" s="59"/>
      <c r="H942" s="59"/>
      <c r="I942" s="59"/>
      <c r="J942" s="35" t="s">
        <v>8</v>
      </c>
      <c r="K942" s="35" t="s">
        <v>9</v>
      </c>
      <c r="L942" s="35" t="s">
        <v>10</v>
      </c>
    </row>
    <row r="943" spans="1:12" x14ac:dyDescent="0.2">
      <c r="A943" s="52">
        <v>46052</v>
      </c>
      <c r="B943" s="52"/>
      <c r="C943" s="54" t="s">
        <v>277</v>
      </c>
      <c r="D943" s="54"/>
      <c r="E943" s="54"/>
      <c r="F943" s="54"/>
      <c r="G943" s="54"/>
      <c r="H943" s="54"/>
      <c r="I943" s="54"/>
      <c r="J943" s="31">
        <v>12</v>
      </c>
      <c r="K943" s="31"/>
      <c r="L943" s="28"/>
    </row>
    <row r="944" spans="1:12" x14ac:dyDescent="0.2">
      <c r="A944" s="52"/>
      <c r="B944" s="52"/>
      <c r="C944" s="54"/>
      <c r="D944" s="54"/>
      <c r="E944" s="54"/>
      <c r="F944" s="54"/>
      <c r="G944" s="54"/>
      <c r="H944" s="54"/>
      <c r="I944" s="54"/>
      <c r="J944" s="31"/>
      <c r="K944" s="31"/>
      <c r="L944" s="28"/>
    </row>
    <row r="945" spans="1:12" x14ac:dyDescent="0.2">
      <c r="A945" s="52"/>
      <c r="B945" s="52"/>
      <c r="C945" s="54"/>
      <c r="D945" s="54"/>
      <c r="E945" s="54"/>
      <c r="F945" s="54"/>
      <c r="G945" s="54"/>
      <c r="H945" s="54"/>
      <c r="I945" s="54"/>
      <c r="J945" s="31"/>
      <c r="K945" s="31"/>
      <c r="L945" s="28"/>
    </row>
    <row r="946" spans="1:12" x14ac:dyDescent="0.2">
      <c r="A946" s="55" t="s">
        <v>16</v>
      </c>
      <c r="B946" s="56"/>
      <c r="C946" s="56"/>
      <c r="D946" s="56"/>
      <c r="E946" s="56"/>
      <c r="F946" s="56"/>
      <c r="G946" s="56"/>
      <c r="H946" s="56"/>
      <c r="I946" s="57"/>
      <c r="J946" s="36">
        <f t="shared" ref="J946:L946" si="281">SUM(J943:J945)</f>
        <v>12</v>
      </c>
      <c r="K946" s="36">
        <f t="shared" si="281"/>
        <v>0</v>
      </c>
      <c r="L946" s="36">
        <f t="shared" si="281"/>
        <v>0</v>
      </c>
    </row>
    <row r="947" spans="1:12" x14ac:dyDescent="0.2">
      <c r="A947" s="27">
        <v>151</v>
      </c>
      <c r="B947" s="28"/>
      <c r="C947" s="47" t="s">
        <v>282</v>
      </c>
      <c r="D947" s="46" t="s">
        <v>399</v>
      </c>
      <c r="E947" s="30" t="s">
        <v>388</v>
      </c>
      <c r="F947" s="31"/>
      <c r="G947" s="31"/>
      <c r="H947" s="31" t="s">
        <v>14</v>
      </c>
      <c r="I947" s="31">
        <v>0</v>
      </c>
      <c r="J947" s="32">
        <f t="shared" ref="J947:K947" si="282">+J952</f>
        <v>3</v>
      </c>
      <c r="K947" s="33">
        <f t="shared" si="282"/>
        <v>0</v>
      </c>
      <c r="L947" s="34">
        <f>+I947+J947-K947</f>
        <v>3</v>
      </c>
    </row>
    <row r="948" spans="1:12" x14ac:dyDescent="0.2">
      <c r="A948" s="58" t="s">
        <v>15</v>
      </c>
      <c r="B948" s="58"/>
      <c r="C948" s="59" t="s">
        <v>3</v>
      </c>
      <c r="D948" s="59"/>
      <c r="E948" s="59"/>
      <c r="F948" s="59"/>
      <c r="G948" s="59"/>
      <c r="H948" s="59"/>
      <c r="I948" s="59"/>
      <c r="J948" s="35" t="s">
        <v>8</v>
      </c>
      <c r="K948" s="35" t="s">
        <v>9</v>
      </c>
      <c r="L948" s="35" t="s">
        <v>10</v>
      </c>
    </row>
    <row r="949" spans="1:12" x14ac:dyDescent="0.2">
      <c r="A949" s="52">
        <v>46107</v>
      </c>
      <c r="B949" s="52"/>
      <c r="C949" s="61" t="s">
        <v>363</v>
      </c>
      <c r="D949" s="54"/>
      <c r="E949" s="54"/>
      <c r="F949" s="54"/>
      <c r="G949" s="54"/>
      <c r="H949" s="54"/>
      <c r="I949" s="54"/>
      <c r="J949" s="31">
        <v>3</v>
      </c>
      <c r="K949" s="31"/>
      <c r="L949" s="28"/>
    </row>
    <row r="950" spans="1:12" x14ac:dyDescent="0.2">
      <c r="A950" s="52"/>
      <c r="B950" s="52"/>
      <c r="C950" s="54"/>
      <c r="D950" s="54"/>
      <c r="E950" s="54"/>
      <c r="F950" s="54"/>
      <c r="G950" s="54"/>
      <c r="H950" s="54"/>
      <c r="I950" s="54"/>
      <c r="J950" s="31"/>
      <c r="K950" s="31"/>
      <c r="L950" s="28"/>
    </row>
    <row r="951" spans="1:12" x14ac:dyDescent="0.2">
      <c r="A951" s="52"/>
      <c r="B951" s="52"/>
      <c r="C951" s="54"/>
      <c r="D951" s="54"/>
      <c r="E951" s="54"/>
      <c r="F951" s="54"/>
      <c r="G951" s="54"/>
      <c r="H951" s="54"/>
      <c r="I951" s="54"/>
      <c r="J951" s="31"/>
      <c r="K951" s="31"/>
      <c r="L951" s="28"/>
    </row>
    <row r="952" spans="1:12" x14ac:dyDescent="0.2">
      <c r="A952" s="55" t="s">
        <v>16</v>
      </c>
      <c r="B952" s="56"/>
      <c r="C952" s="56"/>
      <c r="D952" s="56"/>
      <c r="E952" s="56"/>
      <c r="F952" s="56"/>
      <c r="G952" s="56"/>
      <c r="H952" s="56"/>
      <c r="I952" s="57"/>
      <c r="J952" s="36">
        <f t="shared" ref="J952:L952" si="283">SUM(J949:J951)</f>
        <v>3</v>
      </c>
      <c r="K952" s="36">
        <f t="shared" si="283"/>
        <v>0</v>
      </c>
      <c r="L952" s="36">
        <f t="shared" si="283"/>
        <v>0</v>
      </c>
    </row>
    <row r="953" spans="1:12" x14ac:dyDescent="0.2">
      <c r="A953" s="27">
        <v>152</v>
      </c>
      <c r="B953" s="28"/>
      <c r="C953" s="28" t="s">
        <v>90</v>
      </c>
      <c r="D953" s="29" t="s">
        <v>204</v>
      </c>
      <c r="E953" s="30" t="s">
        <v>365</v>
      </c>
      <c r="F953" s="31"/>
      <c r="G953" s="31"/>
      <c r="H953" s="31" t="s">
        <v>14</v>
      </c>
      <c r="I953" s="31">
        <v>4</v>
      </c>
      <c r="J953" s="32">
        <f t="shared" ref="J953:K953" si="284">+J959</f>
        <v>39</v>
      </c>
      <c r="K953" s="33">
        <f t="shared" si="284"/>
        <v>4</v>
      </c>
      <c r="L953" s="37">
        <f>+I953+J953-K953</f>
        <v>39</v>
      </c>
    </row>
    <row r="954" spans="1:12" x14ac:dyDescent="0.2">
      <c r="A954" s="58" t="s">
        <v>15</v>
      </c>
      <c r="B954" s="58"/>
      <c r="C954" s="59" t="s">
        <v>3</v>
      </c>
      <c r="D954" s="59"/>
      <c r="E954" s="59"/>
      <c r="F954" s="59"/>
      <c r="G954" s="59"/>
      <c r="H954" s="59"/>
      <c r="I954" s="59"/>
      <c r="J954" s="35" t="s">
        <v>8</v>
      </c>
      <c r="K954" s="35" t="s">
        <v>9</v>
      </c>
      <c r="L954" s="35" t="s">
        <v>10</v>
      </c>
    </row>
    <row r="955" spans="1:12" x14ac:dyDescent="0.2">
      <c r="A955" s="52">
        <v>45985</v>
      </c>
      <c r="B955" s="52"/>
      <c r="C955" s="54" t="s">
        <v>92</v>
      </c>
      <c r="D955" s="54"/>
      <c r="E955" s="54"/>
      <c r="F955" s="54"/>
      <c r="G955" s="54"/>
      <c r="H955" s="54"/>
      <c r="I955" s="54"/>
      <c r="J955" s="31"/>
      <c r="K955" s="31">
        <v>3</v>
      </c>
      <c r="L955" s="28"/>
    </row>
    <row r="956" spans="1:12" x14ac:dyDescent="0.2">
      <c r="A956" s="52">
        <v>46072</v>
      </c>
      <c r="B956" s="52"/>
      <c r="C956" s="54" t="s">
        <v>92</v>
      </c>
      <c r="D956" s="54"/>
      <c r="E956" s="54"/>
      <c r="F956" s="54"/>
      <c r="G956" s="54"/>
      <c r="H956" s="54"/>
      <c r="I956" s="54"/>
      <c r="J956" s="31"/>
      <c r="K956" s="31">
        <v>1</v>
      </c>
      <c r="L956" s="28"/>
    </row>
    <row r="957" spans="1:12" x14ac:dyDescent="0.2">
      <c r="A957" s="52">
        <v>46107</v>
      </c>
      <c r="B957" s="52"/>
      <c r="C957" s="61" t="s">
        <v>363</v>
      </c>
      <c r="D957" s="54"/>
      <c r="E957" s="54"/>
      <c r="F957" s="54"/>
      <c r="G957" s="54"/>
      <c r="H957" s="54"/>
      <c r="I957" s="54"/>
      <c r="J957" s="31">
        <f>7+3+9+1+10+9</f>
        <v>39</v>
      </c>
      <c r="K957" s="31"/>
      <c r="L957" s="28"/>
    </row>
    <row r="958" spans="1:12" x14ac:dyDescent="0.2">
      <c r="A958" s="52"/>
      <c r="B958" s="52"/>
      <c r="C958" s="54"/>
      <c r="D958" s="54"/>
      <c r="E958" s="54"/>
      <c r="F958" s="54"/>
      <c r="G958" s="54"/>
      <c r="H958" s="54"/>
      <c r="I958" s="54"/>
      <c r="J958" s="31"/>
      <c r="K958" s="31"/>
      <c r="L958" s="28"/>
    </row>
    <row r="959" spans="1:12" x14ac:dyDescent="0.2">
      <c r="A959" s="62" t="s">
        <v>16</v>
      </c>
      <c r="B959" s="62"/>
      <c r="C959" s="62"/>
      <c r="D959" s="62"/>
      <c r="E959" s="62"/>
      <c r="F959" s="62"/>
      <c r="G959" s="62"/>
      <c r="H959" s="62"/>
      <c r="I959" s="62"/>
      <c r="J959" s="36">
        <f t="shared" ref="J959:L959" si="285">SUM(J955:J958)</f>
        <v>39</v>
      </c>
      <c r="K959" s="36">
        <f t="shared" si="285"/>
        <v>4</v>
      </c>
      <c r="L959" s="36">
        <f t="shared" si="285"/>
        <v>0</v>
      </c>
    </row>
    <row r="960" spans="1:12" x14ac:dyDescent="0.2">
      <c r="A960" s="27">
        <v>153</v>
      </c>
      <c r="B960" s="28"/>
      <c r="C960" s="28" t="s">
        <v>90</v>
      </c>
      <c r="D960" s="46" t="s">
        <v>364</v>
      </c>
      <c r="E960" s="30" t="s">
        <v>365</v>
      </c>
      <c r="F960" s="31"/>
      <c r="G960" s="31"/>
      <c r="H960" s="31" t="s">
        <v>14</v>
      </c>
      <c r="I960" s="31"/>
      <c r="J960" s="32">
        <f t="shared" ref="J960:K960" si="286">+J965</f>
        <v>2</v>
      </c>
      <c r="K960" s="33">
        <f t="shared" si="286"/>
        <v>0</v>
      </c>
      <c r="L960" s="37">
        <f>+I960+J960-K960</f>
        <v>2</v>
      </c>
    </row>
    <row r="961" spans="1:12" x14ac:dyDescent="0.2">
      <c r="A961" s="58" t="s">
        <v>15</v>
      </c>
      <c r="B961" s="58"/>
      <c r="C961" s="59" t="s">
        <v>3</v>
      </c>
      <c r="D961" s="59"/>
      <c r="E961" s="59"/>
      <c r="F961" s="59"/>
      <c r="G961" s="59"/>
      <c r="H961" s="59"/>
      <c r="I961" s="59"/>
      <c r="J961" s="35" t="s">
        <v>8</v>
      </c>
      <c r="K961" s="35" t="s">
        <v>9</v>
      </c>
      <c r="L961" s="35" t="s">
        <v>10</v>
      </c>
    </row>
    <row r="962" spans="1:12" x14ac:dyDescent="0.2">
      <c r="A962" s="52">
        <v>46107</v>
      </c>
      <c r="B962" s="52"/>
      <c r="C962" s="61" t="s">
        <v>363</v>
      </c>
      <c r="D962" s="54"/>
      <c r="E962" s="54"/>
      <c r="F962" s="54"/>
      <c r="G962" s="54"/>
      <c r="H962" s="54"/>
      <c r="I962" s="54"/>
      <c r="J962" s="31">
        <v>2</v>
      </c>
      <c r="K962" s="31"/>
      <c r="L962" s="28"/>
    </row>
    <row r="963" spans="1:12" x14ac:dyDescent="0.2">
      <c r="A963" s="52"/>
      <c r="B963" s="52"/>
      <c r="C963" s="54"/>
      <c r="D963" s="54"/>
      <c r="E963" s="54"/>
      <c r="F963" s="54"/>
      <c r="G963" s="54"/>
      <c r="H963" s="54"/>
      <c r="I963" s="54"/>
      <c r="J963" s="31"/>
      <c r="K963" s="31"/>
      <c r="L963" s="28"/>
    </row>
    <row r="964" spans="1:12" x14ac:dyDescent="0.2">
      <c r="A964" s="52"/>
      <c r="B964" s="52"/>
      <c r="C964" s="54"/>
      <c r="D964" s="54"/>
      <c r="E964" s="54"/>
      <c r="F964" s="54"/>
      <c r="G964" s="54"/>
      <c r="H964" s="54"/>
      <c r="I964" s="54"/>
      <c r="J964" s="31"/>
      <c r="K964" s="31"/>
      <c r="L964" s="28"/>
    </row>
    <row r="965" spans="1:12" x14ac:dyDescent="0.2">
      <c r="A965" s="55" t="s">
        <v>16</v>
      </c>
      <c r="B965" s="56"/>
      <c r="C965" s="56"/>
      <c r="D965" s="56"/>
      <c r="E965" s="56"/>
      <c r="F965" s="56"/>
      <c r="G965" s="56"/>
      <c r="H965" s="56"/>
      <c r="I965" s="57"/>
      <c r="J965" s="36">
        <f>SUM(J962:J964)</f>
        <v>2</v>
      </c>
      <c r="K965" s="36">
        <f>SUM(K962:K964)</f>
        <v>0</v>
      </c>
      <c r="L965" s="36">
        <f>SUM(L962:L964)</f>
        <v>0</v>
      </c>
    </row>
    <row r="966" spans="1:12" x14ac:dyDescent="0.2">
      <c r="A966" s="27">
        <v>154</v>
      </c>
      <c r="B966" s="28"/>
      <c r="C966" s="28" t="s">
        <v>90</v>
      </c>
      <c r="D966" s="46" t="s">
        <v>367</v>
      </c>
      <c r="E966" s="30" t="s">
        <v>365</v>
      </c>
      <c r="F966" s="31"/>
      <c r="G966" s="31"/>
      <c r="H966" s="31" t="s">
        <v>14</v>
      </c>
      <c r="I966" s="31">
        <v>0</v>
      </c>
      <c r="J966" s="32">
        <f t="shared" ref="J966:K966" si="287">+J971</f>
        <v>4</v>
      </c>
      <c r="K966" s="33">
        <f t="shared" si="287"/>
        <v>3</v>
      </c>
      <c r="L966" s="37">
        <f>+I966+J966-K966</f>
        <v>1</v>
      </c>
    </row>
    <row r="967" spans="1:12" x14ac:dyDescent="0.2">
      <c r="A967" s="58" t="s">
        <v>15</v>
      </c>
      <c r="B967" s="58"/>
      <c r="C967" s="59" t="s">
        <v>3</v>
      </c>
      <c r="D967" s="59"/>
      <c r="E967" s="59"/>
      <c r="F967" s="59"/>
      <c r="G967" s="59"/>
      <c r="H967" s="59"/>
      <c r="I967" s="59"/>
      <c r="J967" s="35" t="s">
        <v>8</v>
      </c>
      <c r="K967" s="35" t="s">
        <v>9</v>
      </c>
      <c r="L967" s="35" t="s">
        <v>10</v>
      </c>
    </row>
    <row r="968" spans="1:12" x14ac:dyDescent="0.2">
      <c r="A968" s="52">
        <v>46107</v>
      </c>
      <c r="B968" s="52"/>
      <c r="C968" s="61" t="s">
        <v>363</v>
      </c>
      <c r="D968" s="54"/>
      <c r="E968" s="54"/>
      <c r="F968" s="54"/>
      <c r="G968" s="54"/>
      <c r="H968" s="54"/>
      <c r="I968" s="54"/>
      <c r="J968" s="31">
        <v>4</v>
      </c>
      <c r="K968" s="31">
        <v>3</v>
      </c>
      <c r="L968" s="28"/>
    </row>
    <row r="969" spans="1:12" x14ac:dyDescent="0.2">
      <c r="A969" s="52"/>
      <c r="B969" s="52"/>
      <c r="C969" s="61"/>
      <c r="D969" s="54"/>
      <c r="E969" s="54"/>
      <c r="F969" s="54"/>
      <c r="G969" s="54"/>
      <c r="H969" s="54"/>
      <c r="I969" s="54"/>
      <c r="J969" s="31"/>
      <c r="K969" s="31"/>
      <c r="L969" s="28"/>
    </row>
    <row r="970" spans="1:12" x14ac:dyDescent="0.2">
      <c r="A970" s="52"/>
      <c r="B970" s="52"/>
      <c r="C970" s="54"/>
      <c r="D970" s="54"/>
      <c r="E970" s="54"/>
      <c r="F970" s="54"/>
      <c r="G970" s="54"/>
      <c r="H970" s="54"/>
      <c r="I970" s="54"/>
      <c r="J970" s="31"/>
      <c r="K970" s="31"/>
      <c r="L970" s="28"/>
    </row>
    <row r="971" spans="1:12" x14ac:dyDescent="0.2">
      <c r="A971" s="55" t="s">
        <v>16</v>
      </c>
      <c r="B971" s="56"/>
      <c r="C971" s="56"/>
      <c r="D971" s="56"/>
      <c r="E971" s="56"/>
      <c r="F971" s="56"/>
      <c r="G971" s="56"/>
      <c r="H971" s="56"/>
      <c r="I971" s="57"/>
      <c r="J971" s="36">
        <f>SUM(J968:J970)</f>
        <v>4</v>
      </c>
      <c r="K971" s="36">
        <f>SUM(K968:K970)</f>
        <v>3</v>
      </c>
      <c r="L971" s="36">
        <f>SUM(L968:L970)</f>
        <v>0</v>
      </c>
    </row>
    <row r="972" spans="1:12" x14ac:dyDescent="0.2">
      <c r="A972" s="27">
        <v>155</v>
      </c>
      <c r="B972" s="28"/>
      <c r="C972" s="28" t="s">
        <v>90</v>
      </c>
      <c r="D972" s="46" t="s">
        <v>368</v>
      </c>
      <c r="E972" s="30" t="s">
        <v>365</v>
      </c>
      <c r="F972" s="31"/>
      <c r="G972" s="31"/>
      <c r="H972" s="31" t="s">
        <v>14</v>
      </c>
      <c r="I972" s="31"/>
      <c r="J972" s="32">
        <f t="shared" ref="J972:K972" si="288">+J977</f>
        <v>3</v>
      </c>
      <c r="K972" s="33">
        <f t="shared" si="288"/>
        <v>0</v>
      </c>
      <c r="L972" s="37">
        <f>+I972+J972-K972</f>
        <v>3</v>
      </c>
    </row>
    <row r="973" spans="1:12" x14ac:dyDescent="0.2">
      <c r="A973" s="58" t="s">
        <v>15</v>
      </c>
      <c r="B973" s="58"/>
      <c r="C973" s="59" t="s">
        <v>3</v>
      </c>
      <c r="D973" s="59"/>
      <c r="E973" s="59"/>
      <c r="F973" s="59"/>
      <c r="G973" s="59"/>
      <c r="H973" s="59"/>
      <c r="I973" s="59"/>
      <c r="J973" s="35" t="s">
        <v>8</v>
      </c>
      <c r="K973" s="35" t="s">
        <v>9</v>
      </c>
      <c r="L973" s="35" t="s">
        <v>10</v>
      </c>
    </row>
    <row r="974" spans="1:12" x14ac:dyDescent="0.2">
      <c r="A974" s="52">
        <v>46107</v>
      </c>
      <c r="B974" s="52"/>
      <c r="C974" s="61" t="s">
        <v>363</v>
      </c>
      <c r="D974" s="54"/>
      <c r="E974" s="54"/>
      <c r="F974" s="54"/>
      <c r="G974" s="54"/>
      <c r="H974" s="54"/>
      <c r="I974" s="54"/>
      <c r="J974" s="31">
        <v>3</v>
      </c>
      <c r="K974" s="31"/>
      <c r="L974" s="28"/>
    </row>
    <row r="975" spans="1:12" x14ac:dyDescent="0.2">
      <c r="A975" s="52"/>
      <c r="B975" s="52"/>
      <c r="C975" s="54"/>
      <c r="D975" s="54"/>
      <c r="E975" s="54"/>
      <c r="F975" s="54"/>
      <c r="G975" s="54"/>
      <c r="H975" s="54"/>
      <c r="I975" s="54"/>
      <c r="J975" s="31"/>
      <c r="K975" s="31"/>
      <c r="L975" s="28"/>
    </row>
    <row r="976" spans="1:12" x14ac:dyDescent="0.2">
      <c r="A976" s="52"/>
      <c r="B976" s="52"/>
      <c r="C976" s="54"/>
      <c r="D976" s="54"/>
      <c r="E976" s="54"/>
      <c r="F976" s="54"/>
      <c r="G976" s="54"/>
      <c r="H976" s="54"/>
      <c r="I976" s="54"/>
      <c r="J976" s="31"/>
      <c r="K976" s="31"/>
      <c r="L976" s="28"/>
    </row>
    <row r="977" spans="1:12" x14ac:dyDescent="0.2">
      <c r="A977" s="55" t="s">
        <v>16</v>
      </c>
      <c r="B977" s="56"/>
      <c r="C977" s="56"/>
      <c r="D977" s="56"/>
      <c r="E977" s="56"/>
      <c r="F977" s="56"/>
      <c r="G977" s="56"/>
      <c r="H977" s="56"/>
      <c r="I977" s="57"/>
      <c r="J977" s="36">
        <f>SUM(J974:J976)</f>
        <v>3</v>
      </c>
      <c r="K977" s="36">
        <f>SUM(K974:K976)</f>
        <v>0</v>
      </c>
      <c r="L977" s="36">
        <f>SUM(L974:L976)</f>
        <v>0</v>
      </c>
    </row>
    <row r="978" spans="1:12" x14ac:dyDescent="0.2">
      <c r="A978" s="27">
        <v>156</v>
      </c>
      <c r="B978" s="28"/>
      <c r="C978" s="28" t="s">
        <v>90</v>
      </c>
      <c r="D978" s="46" t="s">
        <v>369</v>
      </c>
      <c r="E978" s="30" t="s">
        <v>365</v>
      </c>
      <c r="F978" s="31"/>
      <c r="G978" s="31"/>
      <c r="H978" s="31" t="s">
        <v>14</v>
      </c>
      <c r="I978" s="31">
        <v>1</v>
      </c>
      <c r="J978" s="32">
        <f t="shared" ref="J978:K978" si="289">+J983</f>
        <v>4</v>
      </c>
      <c r="K978" s="33">
        <f t="shared" si="289"/>
        <v>0</v>
      </c>
      <c r="L978" s="37">
        <f>+I978+J978-K978</f>
        <v>5</v>
      </c>
    </row>
    <row r="979" spans="1:12" x14ac:dyDescent="0.2">
      <c r="A979" s="58" t="s">
        <v>15</v>
      </c>
      <c r="B979" s="58"/>
      <c r="C979" s="59" t="s">
        <v>3</v>
      </c>
      <c r="D979" s="59"/>
      <c r="E979" s="59"/>
      <c r="F979" s="59"/>
      <c r="G979" s="59"/>
      <c r="H979" s="59"/>
      <c r="I979" s="59"/>
      <c r="J979" s="35" t="s">
        <v>8</v>
      </c>
      <c r="K979" s="35" t="s">
        <v>9</v>
      </c>
      <c r="L979" s="35" t="s">
        <v>10</v>
      </c>
    </row>
    <row r="980" spans="1:12" x14ac:dyDescent="0.2">
      <c r="A980" s="52">
        <v>46107</v>
      </c>
      <c r="B980" s="52"/>
      <c r="C980" s="61" t="s">
        <v>363</v>
      </c>
      <c r="D980" s="54"/>
      <c r="E980" s="54"/>
      <c r="F980" s="54"/>
      <c r="G980" s="54"/>
      <c r="H980" s="54"/>
      <c r="I980" s="54"/>
      <c r="J980" s="31">
        <v>4</v>
      </c>
      <c r="K980" s="31"/>
      <c r="L980" s="28"/>
    </row>
    <row r="981" spans="1:12" x14ac:dyDescent="0.2">
      <c r="A981" s="52"/>
      <c r="B981" s="52"/>
      <c r="C981" s="54"/>
      <c r="D981" s="54"/>
      <c r="E981" s="54"/>
      <c r="F981" s="54"/>
      <c r="G981" s="54"/>
      <c r="H981" s="54"/>
      <c r="I981" s="54"/>
      <c r="J981" s="31"/>
      <c r="K981" s="31"/>
      <c r="L981" s="28"/>
    </row>
    <row r="982" spans="1:12" x14ac:dyDescent="0.2">
      <c r="A982" s="52"/>
      <c r="B982" s="52"/>
      <c r="C982" s="54"/>
      <c r="D982" s="54"/>
      <c r="E982" s="54"/>
      <c r="F982" s="54"/>
      <c r="G982" s="54"/>
      <c r="H982" s="54"/>
      <c r="I982" s="54"/>
      <c r="J982" s="31"/>
      <c r="K982" s="31"/>
      <c r="L982" s="28"/>
    </row>
    <row r="983" spans="1:12" x14ac:dyDescent="0.2">
      <c r="A983" s="55" t="s">
        <v>16</v>
      </c>
      <c r="B983" s="56"/>
      <c r="C983" s="56"/>
      <c r="D983" s="56"/>
      <c r="E983" s="56"/>
      <c r="F983" s="56"/>
      <c r="G983" s="56"/>
      <c r="H983" s="56"/>
      <c r="I983" s="57"/>
      <c r="J983" s="36">
        <f>SUM(J980:J982)</f>
        <v>4</v>
      </c>
      <c r="K983" s="36">
        <f>SUM(K980:K982)</f>
        <v>0</v>
      </c>
      <c r="L983" s="36">
        <f>SUM(L980:L982)</f>
        <v>0</v>
      </c>
    </row>
    <row r="984" spans="1:12" x14ac:dyDescent="0.2">
      <c r="A984" s="27">
        <v>157</v>
      </c>
      <c r="B984" s="28"/>
      <c r="C984" s="28" t="s">
        <v>90</v>
      </c>
      <c r="D984" s="46" t="s">
        <v>370</v>
      </c>
      <c r="E984" s="30" t="s">
        <v>365</v>
      </c>
      <c r="F984" s="31"/>
      <c r="G984" s="31"/>
      <c r="H984" s="31" t="s">
        <v>14</v>
      </c>
      <c r="I984" s="31">
        <v>1</v>
      </c>
      <c r="J984" s="32">
        <f t="shared" ref="J984:K984" si="290">+J989</f>
        <v>6</v>
      </c>
      <c r="K984" s="33">
        <f t="shared" si="290"/>
        <v>1</v>
      </c>
      <c r="L984" s="38">
        <f>+I984+J984-K984</f>
        <v>6</v>
      </c>
    </row>
    <row r="985" spans="1:12" x14ac:dyDescent="0.2">
      <c r="A985" s="58" t="s">
        <v>15</v>
      </c>
      <c r="B985" s="58"/>
      <c r="C985" s="59" t="s">
        <v>3</v>
      </c>
      <c r="D985" s="59"/>
      <c r="E985" s="59"/>
      <c r="F985" s="59"/>
      <c r="G985" s="59"/>
      <c r="H985" s="59"/>
      <c r="I985" s="59"/>
      <c r="J985" s="35" t="s">
        <v>8</v>
      </c>
      <c r="K985" s="35" t="s">
        <v>9</v>
      </c>
      <c r="L985" s="35" t="s">
        <v>10</v>
      </c>
    </row>
    <row r="986" spans="1:12" x14ac:dyDescent="0.2">
      <c r="A986" s="52">
        <v>46072</v>
      </c>
      <c r="B986" s="52"/>
      <c r="C986" s="54" t="s">
        <v>92</v>
      </c>
      <c r="D986" s="54"/>
      <c r="E986" s="54"/>
      <c r="F986" s="54"/>
      <c r="G986" s="54"/>
      <c r="H986" s="54"/>
      <c r="I986" s="54"/>
      <c r="J986" s="31"/>
      <c r="K986" s="31">
        <v>1</v>
      </c>
      <c r="L986" s="28"/>
    </row>
    <row r="987" spans="1:12" x14ac:dyDescent="0.2">
      <c r="A987" s="52">
        <v>46107</v>
      </c>
      <c r="B987" s="52"/>
      <c r="C987" s="61" t="s">
        <v>363</v>
      </c>
      <c r="D987" s="54"/>
      <c r="E987" s="54"/>
      <c r="F987" s="54"/>
      <c r="G987" s="54"/>
      <c r="H987" s="54"/>
      <c r="I987" s="54"/>
      <c r="J987" s="31">
        <v>6</v>
      </c>
      <c r="K987" s="31"/>
      <c r="L987" s="28"/>
    </row>
    <row r="988" spans="1:12" x14ac:dyDescent="0.2">
      <c r="A988" s="52"/>
      <c r="B988" s="52"/>
      <c r="C988" s="54"/>
      <c r="D988" s="54"/>
      <c r="E988" s="54"/>
      <c r="F988" s="54"/>
      <c r="G988" s="54"/>
      <c r="H988" s="54"/>
      <c r="I988" s="54"/>
      <c r="J988" s="31"/>
      <c r="K988" s="31"/>
      <c r="L988" s="28"/>
    </row>
    <row r="989" spans="1:12" x14ac:dyDescent="0.2">
      <c r="A989" s="55" t="s">
        <v>16</v>
      </c>
      <c r="B989" s="56"/>
      <c r="C989" s="56"/>
      <c r="D989" s="56"/>
      <c r="E989" s="56"/>
      <c r="F989" s="56"/>
      <c r="G989" s="56"/>
      <c r="H989" s="56"/>
      <c r="I989" s="57"/>
      <c r="J989" s="36">
        <f>SUM(J986:J988)</f>
        <v>6</v>
      </c>
      <c r="K989" s="36">
        <f>SUM(K986:K988)</f>
        <v>1</v>
      </c>
      <c r="L989" s="36">
        <f>SUM(L986:L988)</f>
        <v>0</v>
      </c>
    </row>
    <row r="990" spans="1:12" x14ac:dyDescent="0.2">
      <c r="A990" s="27">
        <v>158</v>
      </c>
      <c r="B990" s="28"/>
      <c r="C990" s="28" t="s">
        <v>90</v>
      </c>
      <c r="D990" s="29" t="s">
        <v>101</v>
      </c>
      <c r="E990" s="30" t="s">
        <v>365</v>
      </c>
      <c r="F990" s="31"/>
      <c r="G990" s="31"/>
      <c r="H990" s="31" t="s">
        <v>14</v>
      </c>
      <c r="I990" s="31">
        <v>43</v>
      </c>
      <c r="J990" s="32">
        <f t="shared" ref="J990:K990" si="291">+J995</f>
        <v>0</v>
      </c>
      <c r="K990" s="33">
        <f t="shared" si="291"/>
        <v>11</v>
      </c>
      <c r="L990" s="34">
        <f>+I990+J990-K990</f>
        <v>32</v>
      </c>
    </row>
    <row r="991" spans="1:12" x14ac:dyDescent="0.2">
      <c r="A991" s="58" t="s">
        <v>15</v>
      </c>
      <c r="B991" s="58"/>
      <c r="C991" s="59" t="s">
        <v>3</v>
      </c>
      <c r="D991" s="59"/>
      <c r="E991" s="59"/>
      <c r="F991" s="59"/>
      <c r="G991" s="59"/>
      <c r="H991" s="59"/>
      <c r="I991" s="59"/>
      <c r="J991" s="35" t="s">
        <v>8</v>
      </c>
      <c r="K991" s="35" t="s">
        <v>9</v>
      </c>
      <c r="L991" s="35" t="s">
        <v>10</v>
      </c>
    </row>
    <row r="992" spans="1:12" x14ac:dyDescent="0.2">
      <c r="A992" s="52">
        <v>44518</v>
      </c>
      <c r="B992" s="52"/>
      <c r="C992" s="54" t="s">
        <v>102</v>
      </c>
      <c r="D992" s="54"/>
      <c r="E992" s="54"/>
      <c r="F992" s="54"/>
      <c r="G992" s="54"/>
      <c r="H992" s="54"/>
      <c r="I992" s="54"/>
      <c r="J992" s="31"/>
      <c r="K992" s="31">
        <v>1</v>
      </c>
      <c r="L992" s="28"/>
    </row>
    <row r="993" spans="1:12" x14ac:dyDescent="0.2">
      <c r="A993" s="52">
        <v>46008</v>
      </c>
      <c r="B993" s="52"/>
      <c r="C993" s="54" t="s">
        <v>103</v>
      </c>
      <c r="D993" s="54"/>
      <c r="E993" s="54"/>
      <c r="F993" s="54"/>
      <c r="G993" s="54"/>
      <c r="H993" s="54"/>
      <c r="I993" s="54"/>
      <c r="J993" s="31"/>
      <c r="K993" s="31">
        <v>10</v>
      </c>
      <c r="L993" s="28"/>
    </row>
    <row r="994" spans="1:12" x14ac:dyDescent="0.2">
      <c r="A994" s="52"/>
      <c r="B994" s="52"/>
      <c r="C994" s="54"/>
      <c r="D994" s="54"/>
      <c r="E994" s="54"/>
      <c r="F994" s="54"/>
      <c r="G994" s="54"/>
      <c r="H994" s="54"/>
      <c r="I994" s="54"/>
      <c r="J994" s="31"/>
      <c r="K994" s="31"/>
      <c r="L994" s="28"/>
    </row>
    <row r="995" spans="1:12" x14ac:dyDescent="0.2">
      <c r="A995" s="55" t="s">
        <v>16</v>
      </c>
      <c r="B995" s="56"/>
      <c r="C995" s="56"/>
      <c r="D995" s="56"/>
      <c r="E995" s="56"/>
      <c r="F995" s="56"/>
      <c r="G995" s="56"/>
      <c r="H995" s="56"/>
      <c r="I995" s="57"/>
      <c r="J995" s="36">
        <f t="shared" ref="J995:L995" si="292">SUM(J992:J994)</f>
        <v>0</v>
      </c>
      <c r="K995" s="36">
        <f t="shared" si="292"/>
        <v>11</v>
      </c>
      <c r="L995" s="36">
        <f t="shared" si="292"/>
        <v>0</v>
      </c>
    </row>
    <row r="996" spans="1:12" x14ac:dyDescent="0.2">
      <c r="A996" s="27">
        <v>159</v>
      </c>
      <c r="B996" s="28"/>
      <c r="C996" s="28" t="s">
        <v>90</v>
      </c>
      <c r="D996" s="46" t="s">
        <v>371</v>
      </c>
      <c r="E996" s="30" t="s">
        <v>365</v>
      </c>
      <c r="F996" s="31"/>
      <c r="G996" s="31"/>
      <c r="H996" s="31" t="s">
        <v>14</v>
      </c>
      <c r="I996" s="31">
        <v>3</v>
      </c>
      <c r="J996" s="32">
        <f t="shared" ref="J996:K996" si="293">+J1001</f>
        <v>7</v>
      </c>
      <c r="K996" s="33">
        <f t="shared" si="293"/>
        <v>3</v>
      </c>
      <c r="L996" s="37">
        <f>+I996+J996-K996</f>
        <v>7</v>
      </c>
    </row>
    <row r="997" spans="1:12" x14ac:dyDescent="0.2">
      <c r="A997" s="58" t="s">
        <v>15</v>
      </c>
      <c r="B997" s="58"/>
      <c r="C997" s="59" t="s">
        <v>3</v>
      </c>
      <c r="D997" s="59"/>
      <c r="E997" s="59"/>
      <c r="F997" s="59"/>
      <c r="G997" s="59"/>
      <c r="H997" s="59"/>
      <c r="I997" s="59"/>
      <c r="J997" s="35" t="s">
        <v>8</v>
      </c>
      <c r="K997" s="35" t="s">
        <v>9</v>
      </c>
      <c r="L997" s="35" t="s">
        <v>10</v>
      </c>
    </row>
    <row r="998" spans="1:12" x14ac:dyDescent="0.2">
      <c r="A998" s="52">
        <v>46072</v>
      </c>
      <c r="B998" s="52"/>
      <c r="C998" s="54" t="s">
        <v>92</v>
      </c>
      <c r="D998" s="54"/>
      <c r="E998" s="54"/>
      <c r="F998" s="54"/>
      <c r="G998" s="54"/>
      <c r="H998" s="54"/>
      <c r="I998" s="54"/>
      <c r="J998" s="31"/>
      <c r="K998" s="31">
        <v>3</v>
      </c>
      <c r="L998" s="28"/>
    </row>
    <row r="999" spans="1:12" x14ac:dyDescent="0.2">
      <c r="A999" s="52">
        <v>46107</v>
      </c>
      <c r="B999" s="52"/>
      <c r="C999" s="61" t="s">
        <v>363</v>
      </c>
      <c r="D999" s="54"/>
      <c r="E999" s="54"/>
      <c r="F999" s="54"/>
      <c r="G999" s="54"/>
      <c r="H999" s="54"/>
      <c r="I999" s="54"/>
      <c r="J999" s="31">
        <v>7</v>
      </c>
      <c r="K999" s="31"/>
      <c r="L999" s="28"/>
    </row>
    <row r="1000" spans="1:12" x14ac:dyDescent="0.2">
      <c r="A1000" s="52"/>
      <c r="B1000" s="52"/>
      <c r="C1000" s="54"/>
      <c r="D1000" s="54"/>
      <c r="E1000" s="54"/>
      <c r="F1000" s="54"/>
      <c r="G1000" s="54"/>
      <c r="H1000" s="54"/>
      <c r="I1000" s="54"/>
      <c r="J1000" s="31"/>
      <c r="K1000" s="31"/>
      <c r="L1000" s="28"/>
    </row>
    <row r="1001" spans="1:12" x14ac:dyDescent="0.2">
      <c r="A1001" s="55" t="s">
        <v>16</v>
      </c>
      <c r="B1001" s="56"/>
      <c r="C1001" s="56"/>
      <c r="D1001" s="56"/>
      <c r="E1001" s="56"/>
      <c r="F1001" s="56"/>
      <c r="G1001" s="56"/>
      <c r="H1001" s="56"/>
      <c r="I1001" s="57"/>
      <c r="J1001" s="36">
        <f>SUM(J998:J1000)</f>
        <v>7</v>
      </c>
      <c r="K1001" s="36">
        <f>SUM(K998:K1000)</f>
        <v>3</v>
      </c>
      <c r="L1001" s="36">
        <f>SUM(L998:L1000)</f>
        <v>0</v>
      </c>
    </row>
    <row r="1002" spans="1:12" x14ac:dyDescent="0.2">
      <c r="A1002" s="27">
        <v>160</v>
      </c>
      <c r="B1002" s="28"/>
      <c r="C1002" s="28" t="s">
        <v>90</v>
      </c>
      <c r="D1002" s="46" t="s">
        <v>377</v>
      </c>
      <c r="E1002" s="30" t="s">
        <v>365</v>
      </c>
      <c r="F1002" s="31"/>
      <c r="G1002" s="31"/>
      <c r="H1002" s="31" t="s">
        <v>14</v>
      </c>
      <c r="I1002" s="31"/>
      <c r="J1002" s="32">
        <f t="shared" ref="J1002:K1002" si="294">+J1008</f>
        <v>2</v>
      </c>
      <c r="K1002" s="33">
        <f t="shared" si="294"/>
        <v>0</v>
      </c>
      <c r="L1002" s="37">
        <f>+I1002+J1002-K1002</f>
        <v>2</v>
      </c>
    </row>
    <row r="1003" spans="1:12" x14ac:dyDescent="0.2">
      <c r="A1003" s="58" t="s">
        <v>15</v>
      </c>
      <c r="B1003" s="58"/>
      <c r="C1003" s="59" t="s">
        <v>3</v>
      </c>
      <c r="D1003" s="59"/>
      <c r="E1003" s="59"/>
      <c r="F1003" s="59"/>
      <c r="G1003" s="59"/>
      <c r="H1003" s="59"/>
      <c r="I1003" s="59"/>
      <c r="J1003" s="35" t="s">
        <v>8</v>
      </c>
      <c r="K1003" s="35" t="s">
        <v>9</v>
      </c>
      <c r="L1003" s="35" t="s">
        <v>10</v>
      </c>
    </row>
    <row r="1004" spans="1:12" x14ac:dyDescent="0.2">
      <c r="A1004" s="52">
        <v>46107</v>
      </c>
      <c r="B1004" s="52"/>
      <c r="C1004" s="61" t="s">
        <v>363</v>
      </c>
      <c r="D1004" s="54"/>
      <c r="E1004" s="54"/>
      <c r="F1004" s="54"/>
      <c r="G1004" s="54"/>
      <c r="H1004" s="54"/>
      <c r="I1004" s="54"/>
      <c r="J1004" s="31">
        <v>2</v>
      </c>
      <c r="K1004" s="31"/>
      <c r="L1004" s="28"/>
    </row>
    <row r="1005" spans="1:12" x14ac:dyDescent="0.2">
      <c r="A1005" s="52"/>
      <c r="B1005" s="52"/>
      <c r="C1005" s="61"/>
      <c r="D1005" s="54"/>
      <c r="E1005" s="54"/>
      <c r="F1005" s="54"/>
      <c r="G1005" s="54"/>
      <c r="H1005" s="54"/>
      <c r="I1005" s="54"/>
      <c r="J1005" s="31"/>
      <c r="K1005" s="31"/>
      <c r="L1005" s="28"/>
    </row>
    <row r="1006" spans="1:12" x14ac:dyDescent="0.2">
      <c r="A1006" s="52"/>
      <c r="B1006" s="52"/>
      <c r="C1006" s="54"/>
      <c r="D1006" s="54"/>
      <c r="E1006" s="54"/>
      <c r="F1006" s="54"/>
      <c r="G1006" s="54"/>
      <c r="H1006" s="54"/>
      <c r="I1006" s="54"/>
      <c r="J1006" s="31"/>
      <c r="K1006" s="31"/>
      <c r="L1006" s="28"/>
    </row>
    <row r="1007" spans="1:12" x14ac:dyDescent="0.2">
      <c r="A1007" s="52"/>
      <c r="B1007" s="52"/>
      <c r="C1007" s="54"/>
      <c r="D1007" s="54"/>
      <c r="E1007" s="54"/>
      <c r="F1007" s="54"/>
      <c r="G1007" s="54"/>
      <c r="H1007" s="54"/>
      <c r="I1007" s="54"/>
      <c r="J1007" s="31"/>
      <c r="K1007" s="31"/>
      <c r="L1007" s="28"/>
    </row>
    <row r="1008" spans="1:12" x14ac:dyDescent="0.2">
      <c r="A1008" s="55" t="s">
        <v>16</v>
      </c>
      <c r="B1008" s="56"/>
      <c r="C1008" s="56"/>
      <c r="D1008" s="56"/>
      <c r="E1008" s="56"/>
      <c r="F1008" s="56"/>
      <c r="G1008" s="56"/>
      <c r="H1008" s="56"/>
      <c r="I1008" s="57"/>
      <c r="J1008" s="36">
        <f t="shared" ref="J1008:L1008" si="295">SUM(J1004:J1007)</f>
        <v>2</v>
      </c>
      <c r="K1008" s="36">
        <f t="shared" si="295"/>
        <v>0</v>
      </c>
      <c r="L1008" s="36">
        <f t="shared" si="295"/>
        <v>0</v>
      </c>
    </row>
    <row r="1009" spans="1:12" x14ac:dyDescent="0.2">
      <c r="A1009" s="27">
        <v>161</v>
      </c>
      <c r="B1009" s="28"/>
      <c r="C1009" s="28" t="s">
        <v>90</v>
      </c>
      <c r="D1009" s="29" t="s">
        <v>95</v>
      </c>
      <c r="E1009" s="30" t="s">
        <v>365</v>
      </c>
      <c r="F1009" s="31"/>
      <c r="G1009" s="31"/>
      <c r="H1009" s="31" t="s">
        <v>14</v>
      </c>
      <c r="I1009" s="31">
        <v>2</v>
      </c>
      <c r="J1009" s="32">
        <f t="shared" ref="J1009:K1009" si="296">+J1014</f>
        <v>0</v>
      </c>
      <c r="K1009" s="33">
        <f t="shared" si="296"/>
        <v>1</v>
      </c>
      <c r="L1009" s="34">
        <f>+I1009+J1009-K1009</f>
        <v>1</v>
      </c>
    </row>
    <row r="1010" spans="1:12" x14ac:dyDescent="0.2">
      <c r="A1010" s="58" t="s">
        <v>15</v>
      </c>
      <c r="B1010" s="58"/>
      <c r="C1010" s="59" t="s">
        <v>3</v>
      </c>
      <c r="D1010" s="59"/>
      <c r="E1010" s="59"/>
      <c r="F1010" s="59"/>
      <c r="G1010" s="59"/>
      <c r="H1010" s="59"/>
      <c r="I1010" s="59"/>
      <c r="J1010" s="35" t="s">
        <v>8</v>
      </c>
      <c r="K1010" s="35" t="s">
        <v>9</v>
      </c>
      <c r="L1010" s="35" t="s">
        <v>10</v>
      </c>
    </row>
    <row r="1011" spans="1:12" x14ac:dyDescent="0.2">
      <c r="A1011" s="52">
        <v>45993</v>
      </c>
      <c r="B1011" s="52"/>
      <c r="C1011" s="54" t="s">
        <v>96</v>
      </c>
      <c r="D1011" s="54"/>
      <c r="E1011" s="54"/>
      <c r="F1011" s="54"/>
      <c r="G1011" s="54"/>
      <c r="H1011" s="54"/>
      <c r="I1011" s="54"/>
      <c r="J1011" s="31"/>
      <c r="K1011" s="31">
        <v>1</v>
      </c>
      <c r="L1011" s="28"/>
    </row>
    <row r="1012" spans="1:12" x14ac:dyDescent="0.2">
      <c r="A1012" s="52"/>
      <c r="B1012" s="52"/>
      <c r="C1012" s="54"/>
      <c r="D1012" s="54"/>
      <c r="E1012" s="54"/>
      <c r="F1012" s="54"/>
      <c r="G1012" s="54"/>
      <c r="H1012" s="54"/>
      <c r="I1012" s="54"/>
      <c r="J1012" s="31"/>
      <c r="K1012" s="31"/>
      <c r="L1012" s="28"/>
    </row>
    <row r="1013" spans="1:12" x14ac:dyDescent="0.2">
      <c r="A1013" s="52"/>
      <c r="B1013" s="52"/>
      <c r="C1013" s="54"/>
      <c r="D1013" s="54"/>
      <c r="E1013" s="54"/>
      <c r="F1013" s="54"/>
      <c r="G1013" s="54"/>
      <c r="H1013" s="54"/>
      <c r="I1013" s="54"/>
      <c r="J1013" s="31"/>
      <c r="K1013" s="31"/>
      <c r="L1013" s="28"/>
    </row>
    <row r="1014" spans="1:12" x14ac:dyDescent="0.2">
      <c r="A1014" s="55" t="s">
        <v>16</v>
      </c>
      <c r="B1014" s="56"/>
      <c r="C1014" s="56"/>
      <c r="D1014" s="56"/>
      <c r="E1014" s="56"/>
      <c r="F1014" s="56"/>
      <c r="G1014" s="56"/>
      <c r="H1014" s="56"/>
      <c r="I1014" s="57"/>
      <c r="J1014" s="36">
        <f>SUM(J1011:J1013)</f>
        <v>0</v>
      </c>
      <c r="K1014" s="36">
        <f>SUM(K1011:K1013)</f>
        <v>1</v>
      </c>
      <c r="L1014" s="36">
        <f>SUM(L1011:L1013)</f>
        <v>0</v>
      </c>
    </row>
    <row r="1015" spans="1:12" x14ac:dyDescent="0.2">
      <c r="A1015" s="27">
        <v>162</v>
      </c>
      <c r="B1015" s="28"/>
      <c r="C1015" s="28" t="s">
        <v>90</v>
      </c>
      <c r="D1015" s="29" t="s">
        <v>97</v>
      </c>
      <c r="E1015" s="30" t="s">
        <v>365</v>
      </c>
      <c r="F1015" s="31"/>
      <c r="G1015" s="31"/>
      <c r="H1015" s="31" t="s">
        <v>14</v>
      </c>
      <c r="I1015" s="31">
        <v>3</v>
      </c>
      <c r="J1015" s="32">
        <f t="shared" ref="J1015:K1015" si="297">+J1020</f>
        <v>0</v>
      </c>
      <c r="K1015" s="33">
        <f t="shared" si="297"/>
        <v>2</v>
      </c>
      <c r="L1015" s="37">
        <f>+I1015+J1015-K1015</f>
        <v>1</v>
      </c>
    </row>
    <row r="1016" spans="1:12" x14ac:dyDescent="0.2">
      <c r="A1016" s="58" t="s">
        <v>15</v>
      </c>
      <c r="B1016" s="58"/>
      <c r="C1016" s="59" t="s">
        <v>3</v>
      </c>
      <c r="D1016" s="59"/>
      <c r="E1016" s="59"/>
      <c r="F1016" s="59"/>
      <c r="G1016" s="59"/>
      <c r="H1016" s="59"/>
      <c r="I1016" s="59"/>
      <c r="J1016" s="35" t="s">
        <v>8</v>
      </c>
      <c r="K1016" s="35" t="s">
        <v>9</v>
      </c>
      <c r="L1016" s="35" t="s">
        <v>10</v>
      </c>
    </row>
    <row r="1017" spans="1:12" x14ac:dyDescent="0.2">
      <c r="A1017" s="52">
        <v>46072</v>
      </c>
      <c r="B1017" s="52"/>
      <c r="C1017" s="54" t="s">
        <v>334</v>
      </c>
      <c r="D1017" s="54"/>
      <c r="E1017" s="54"/>
      <c r="F1017" s="54"/>
      <c r="G1017" s="54"/>
      <c r="H1017" s="54"/>
      <c r="I1017" s="54"/>
      <c r="J1017" s="31"/>
      <c r="K1017" s="31">
        <v>2</v>
      </c>
      <c r="L1017" s="28"/>
    </row>
    <row r="1018" spans="1:12" x14ac:dyDescent="0.2">
      <c r="A1018" s="52"/>
      <c r="B1018" s="52"/>
      <c r="C1018" s="54"/>
      <c r="D1018" s="54"/>
      <c r="E1018" s="54"/>
      <c r="F1018" s="54"/>
      <c r="G1018" s="54"/>
      <c r="H1018" s="54"/>
      <c r="I1018" s="54"/>
      <c r="J1018" s="31"/>
      <c r="K1018" s="31"/>
      <c r="L1018" s="28"/>
    </row>
    <row r="1019" spans="1:12" x14ac:dyDescent="0.2">
      <c r="A1019" s="52"/>
      <c r="B1019" s="52"/>
      <c r="C1019" s="54"/>
      <c r="D1019" s="54"/>
      <c r="E1019" s="54"/>
      <c r="F1019" s="54"/>
      <c r="G1019" s="54"/>
      <c r="H1019" s="54"/>
      <c r="I1019" s="54"/>
      <c r="J1019" s="31"/>
      <c r="K1019" s="31"/>
      <c r="L1019" s="28"/>
    </row>
    <row r="1020" spans="1:12" x14ac:dyDescent="0.2">
      <c r="A1020" s="55" t="s">
        <v>16</v>
      </c>
      <c r="B1020" s="56"/>
      <c r="C1020" s="56"/>
      <c r="D1020" s="56"/>
      <c r="E1020" s="56"/>
      <c r="F1020" s="56"/>
      <c r="G1020" s="56"/>
      <c r="H1020" s="56"/>
      <c r="I1020" s="57"/>
      <c r="J1020" s="36">
        <f>SUM(J1017:J1019)</f>
        <v>0</v>
      </c>
      <c r="K1020" s="36">
        <f>SUM(K1017:K1019)</f>
        <v>2</v>
      </c>
      <c r="L1020" s="36">
        <f>SUM(L1017:L1019)</f>
        <v>0</v>
      </c>
    </row>
    <row r="1021" spans="1:12" x14ac:dyDescent="0.2">
      <c r="A1021" s="27">
        <v>163</v>
      </c>
      <c r="B1021" s="28"/>
      <c r="C1021" s="28" t="s">
        <v>90</v>
      </c>
      <c r="D1021" s="46" t="s">
        <v>372</v>
      </c>
      <c r="E1021" s="30" t="s">
        <v>365</v>
      </c>
      <c r="F1021" s="31"/>
      <c r="G1021" s="31"/>
      <c r="H1021" s="31" t="s">
        <v>14</v>
      </c>
      <c r="I1021" s="31">
        <v>0</v>
      </c>
      <c r="J1021" s="32">
        <f t="shared" ref="J1021:K1021" si="298">+J1026</f>
        <v>6</v>
      </c>
      <c r="K1021" s="33">
        <f t="shared" si="298"/>
        <v>0</v>
      </c>
      <c r="L1021" s="37">
        <f>+I1021+J1021-K1021</f>
        <v>6</v>
      </c>
    </row>
    <row r="1022" spans="1:12" x14ac:dyDescent="0.2">
      <c r="A1022" s="58" t="s">
        <v>15</v>
      </c>
      <c r="B1022" s="58"/>
      <c r="C1022" s="59" t="s">
        <v>3</v>
      </c>
      <c r="D1022" s="59"/>
      <c r="E1022" s="59"/>
      <c r="F1022" s="59"/>
      <c r="G1022" s="59"/>
      <c r="H1022" s="59"/>
      <c r="I1022" s="59"/>
      <c r="J1022" s="35" t="s">
        <v>8</v>
      </c>
      <c r="K1022" s="35" t="s">
        <v>9</v>
      </c>
      <c r="L1022" s="35" t="s">
        <v>10</v>
      </c>
    </row>
    <row r="1023" spans="1:12" x14ac:dyDescent="0.2">
      <c r="A1023" s="52">
        <v>46107</v>
      </c>
      <c r="B1023" s="52"/>
      <c r="C1023" s="61" t="s">
        <v>363</v>
      </c>
      <c r="D1023" s="54"/>
      <c r="E1023" s="54"/>
      <c r="F1023" s="54"/>
      <c r="G1023" s="54"/>
      <c r="H1023" s="54"/>
      <c r="I1023" s="54"/>
      <c r="J1023" s="31">
        <v>6</v>
      </c>
      <c r="K1023" s="31"/>
      <c r="L1023" s="28"/>
    </row>
    <row r="1024" spans="1:12" x14ac:dyDescent="0.2">
      <c r="A1024" s="52"/>
      <c r="B1024" s="52"/>
      <c r="C1024" s="54"/>
      <c r="D1024" s="54"/>
      <c r="E1024" s="54"/>
      <c r="F1024" s="54"/>
      <c r="G1024" s="54"/>
      <c r="H1024" s="54"/>
      <c r="I1024" s="54"/>
      <c r="J1024" s="31"/>
      <c r="K1024" s="31"/>
      <c r="L1024" s="28"/>
    </row>
    <row r="1025" spans="1:12" x14ac:dyDescent="0.2">
      <c r="A1025" s="52"/>
      <c r="B1025" s="52"/>
      <c r="C1025" s="54"/>
      <c r="D1025" s="54"/>
      <c r="E1025" s="54"/>
      <c r="F1025" s="54"/>
      <c r="G1025" s="54"/>
      <c r="H1025" s="54"/>
      <c r="I1025" s="54"/>
      <c r="J1025" s="31"/>
      <c r="K1025" s="31"/>
      <c r="L1025" s="28"/>
    </row>
    <row r="1026" spans="1:12" x14ac:dyDescent="0.2">
      <c r="A1026" s="55" t="s">
        <v>16</v>
      </c>
      <c r="B1026" s="56"/>
      <c r="C1026" s="56"/>
      <c r="D1026" s="56"/>
      <c r="E1026" s="56"/>
      <c r="F1026" s="56"/>
      <c r="G1026" s="56"/>
      <c r="H1026" s="56"/>
      <c r="I1026" s="57"/>
      <c r="J1026" s="36">
        <f>SUM(J1023:J1025)</f>
        <v>6</v>
      </c>
      <c r="K1026" s="36">
        <f>SUM(K1023:K1025)</f>
        <v>0</v>
      </c>
      <c r="L1026" s="36">
        <f>SUM(L1023:L1025)</f>
        <v>0</v>
      </c>
    </row>
    <row r="1027" spans="1:12" x14ac:dyDescent="0.2">
      <c r="A1027" s="27">
        <v>164</v>
      </c>
      <c r="B1027" s="28"/>
      <c r="C1027" s="28" t="s">
        <v>90</v>
      </c>
      <c r="D1027" s="46" t="s">
        <v>373</v>
      </c>
      <c r="E1027" s="30" t="s">
        <v>365</v>
      </c>
      <c r="F1027" s="31"/>
      <c r="G1027" s="31"/>
      <c r="H1027" s="31" t="s">
        <v>14</v>
      </c>
      <c r="I1027" s="31"/>
      <c r="J1027" s="32">
        <f t="shared" ref="J1027:K1027" si="299">+J1032</f>
        <v>2</v>
      </c>
      <c r="K1027" s="33">
        <f t="shared" si="299"/>
        <v>0</v>
      </c>
      <c r="L1027" s="37">
        <f>+I1027+J1027-K1027</f>
        <v>2</v>
      </c>
    </row>
    <row r="1028" spans="1:12" x14ac:dyDescent="0.2">
      <c r="A1028" s="58" t="s">
        <v>15</v>
      </c>
      <c r="B1028" s="58"/>
      <c r="C1028" s="59" t="s">
        <v>3</v>
      </c>
      <c r="D1028" s="59"/>
      <c r="E1028" s="59"/>
      <c r="F1028" s="59"/>
      <c r="G1028" s="59"/>
      <c r="H1028" s="59"/>
      <c r="I1028" s="59"/>
      <c r="J1028" s="35" t="s">
        <v>8</v>
      </c>
      <c r="K1028" s="35" t="s">
        <v>9</v>
      </c>
      <c r="L1028" s="35" t="s">
        <v>10</v>
      </c>
    </row>
    <row r="1029" spans="1:12" x14ac:dyDescent="0.2">
      <c r="A1029" s="52">
        <v>46107</v>
      </c>
      <c r="B1029" s="52"/>
      <c r="C1029" s="61" t="s">
        <v>363</v>
      </c>
      <c r="D1029" s="54"/>
      <c r="E1029" s="54"/>
      <c r="F1029" s="54"/>
      <c r="G1029" s="54"/>
      <c r="H1029" s="54"/>
      <c r="I1029" s="54"/>
      <c r="J1029" s="31">
        <v>2</v>
      </c>
      <c r="K1029" s="31"/>
      <c r="L1029" s="28"/>
    </row>
    <row r="1030" spans="1:12" x14ac:dyDescent="0.2">
      <c r="A1030" s="52"/>
      <c r="B1030" s="52"/>
      <c r="C1030" s="54"/>
      <c r="D1030" s="54"/>
      <c r="E1030" s="54"/>
      <c r="F1030" s="54"/>
      <c r="G1030" s="54"/>
      <c r="H1030" s="54"/>
      <c r="I1030" s="54"/>
      <c r="J1030" s="31"/>
      <c r="K1030" s="31"/>
      <c r="L1030" s="28"/>
    </row>
    <row r="1031" spans="1:12" x14ac:dyDescent="0.2">
      <c r="A1031" s="52"/>
      <c r="B1031" s="52"/>
      <c r="C1031" s="54"/>
      <c r="D1031" s="54"/>
      <c r="E1031" s="54"/>
      <c r="F1031" s="54"/>
      <c r="G1031" s="54"/>
      <c r="H1031" s="54"/>
      <c r="I1031" s="54"/>
      <c r="J1031" s="31"/>
      <c r="K1031" s="31"/>
      <c r="L1031" s="28"/>
    </row>
    <row r="1032" spans="1:12" x14ac:dyDescent="0.2">
      <c r="A1032" s="55" t="s">
        <v>16</v>
      </c>
      <c r="B1032" s="56"/>
      <c r="C1032" s="56"/>
      <c r="D1032" s="56"/>
      <c r="E1032" s="56"/>
      <c r="F1032" s="56"/>
      <c r="G1032" s="56"/>
      <c r="H1032" s="56"/>
      <c r="I1032" s="57"/>
      <c r="J1032" s="36">
        <f t="shared" ref="J1032:L1032" si="300">SUM(J1029:J1031)</f>
        <v>2</v>
      </c>
      <c r="K1032" s="36">
        <f t="shared" si="300"/>
        <v>0</v>
      </c>
      <c r="L1032" s="36">
        <f t="shared" si="300"/>
        <v>0</v>
      </c>
    </row>
    <row r="1033" spans="1:12" x14ac:dyDescent="0.2">
      <c r="A1033" s="27">
        <v>165</v>
      </c>
      <c r="B1033" s="28"/>
      <c r="C1033" s="28" t="s">
        <v>90</v>
      </c>
      <c r="D1033" s="46" t="s">
        <v>374</v>
      </c>
      <c r="E1033" s="30" t="s">
        <v>365</v>
      </c>
      <c r="F1033" s="31"/>
      <c r="G1033" s="31"/>
      <c r="H1033" s="31" t="s">
        <v>14</v>
      </c>
      <c r="I1033" s="31"/>
      <c r="J1033" s="32">
        <f t="shared" ref="J1033:K1033" si="301">+J1038</f>
        <v>2</v>
      </c>
      <c r="K1033" s="33">
        <f t="shared" si="301"/>
        <v>0</v>
      </c>
      <c r="L1033" s="37">
        <f>+I1033+J1033-K1033</f>
        <v>2</v>
      </c>
    </row>
    <row r="1034" spans="1:12" x14ac:dyDescent="0.2">
      <c r="A1034" s="58" t="s">
        <v>15</v>
      </c>
      <c r="B1034" s="58"/>
      <c r="C1034" s="59" t="s">
        <v>3</v>
      </c>
      <c r="D1034" s="59"/>
      <c r="E1034" s="59"/>
      <c r="F1034" s="59"/>
      <c r="G1034" s="59"/>
      <c r="H1034" s="59"/>
      <c r="I1034" s="59"/>
      <c r="J1034" s="35" t="s">
        <v>8</v>
      </c>
      <c r="K1034" s="35" t="s">
        <v>9</v>
      </c>
      <c r="L1034" s="35" t="s">
        <v>10</v>
      </c>
    </row>
    <row r="1035" spans="1:12" x14ac:dyDescent="0.2">
      <c r="A1035" s="52">
        <v>46107</v>
      </c>
      <c r="B1035" s="52"/>
      <c r="C1035" s="61" t="s">
        <v>363</v>
      </c>
      <c r="D1035" s="54"/>
      <c r="E1035" s="54"/>
      <c r="F1035" s="54"/>
      <c r="G1035" s="54"/>
      <c r="H1035" s="54"/>
      <c r="I1035" s="54"/>
      <c r="J1035" s="31">
        <v>2</v>
      </c>
      <c r="K1035" s="31"/>
      <c r="L1035" s="28"/>
    </row>
    <row r="1036" spans="1:12" x14ac:dyDescent="0.2">
      <c r="A1036" s="52"/>
      <c r="B1036" s="52"/>
      <c r="C1036" s="54"/>
      <c r="D1036" s="54"/>
      <c r="E1036" s="54"/>
      <c r="F1036" s="54"/>
      <c r="G1036" s="54"/>
      <c r="H1036" s="54"/>
      <c r="I1036" s="54"/>
      <c r="J1036" s="31"/>
      <c r="K1036" s="31"/>
      <c r="L1036" s="28"/>
    </row>
    <row r="1037" spans="1:12" x14ac:dyDescent="0.2">
      <c r="A1037" s="52"/>
      <c r="B1037" s="52"/>
      <c r="C1037" s="54"/>
      <c r="D1037" s="54"/>
      <c r="E1037" s="54"/>
      <c r="F1037" s="54"/>
      <c r="G1037" s="54"/>
      <c r="H1037" s="54"/>
      <c r="I1037" s="54"/>
      <c r="J1037" s="31"/>
      <c r="K1037" s="31"/>
      <c r="L1037" s="28"/>
    </row>
    <row r="1038" spans="1:12" x14ac:dyDescent="0.2">
      <c r="A1038" s="55" t="s">
        <v>16</v>
      </c>
      <c r="B1038" s="56"/>
      <c r="C1038" s="56"/>
      <c r="D1038" s="56"/>
      <c r="E1038" s="56"/>
      <c r="F1038" s="56"/>
      <c r="G1038" s="56"/>
      <c r="H1038" s="56"/>
      <c r="I1038" s="57"/>
      <c r="J1038" s="36">
        <f t="shared" ref="J1038:L1038" si="302">SUM(J1035:J1037)</f>
        <v>2</v>
      </c>
      <c r="K1038" s="36">
        <f t="shared" si="302"/>
        <v>0</v>
      </c>
      <c r="L1038" s="36">
        <f t="shared" si="302"/>
        <v>0</v>
      </c>
    </row>
    <row r="1039" spans="1:12" x14ac:dyDescent="0.2">
      <c r="A1039" s="27">
        <v>166</v>
      </c>
      <c r="B1039" s="28"/>
      <c r="C1039" s="28" t="s">
        <v>90</v>
      </c>
      <c r="D1039" s="46" t="s">
        <v>375</v>
      </c>
      <c r="E1039" s="30" t="s">
        <v>365</v>
      </c>
      <c r="F1039" s="31"/>
      <c r="G1039" s="31"/>
      <c r="H1039" s="31" t="s">
        <v>14</v>
      </c>
      <c r="I1039" s="31"/>
      <c r="J1039" s="32">
        <f t="shared" ref="J1039:K1039" si="303">+J1044</f>
        <v>1</v>
      </c>
      <c r="K1039" s="33">
        <f t="shared" si="303"/>
        <v>0</v>
      </c>
      <c r="L1039" s="37">
        <f>+I1039+J1039-K1039</f>
        <v>1</v>
      </c>
    </row>
    <row r="1040" spans="1:12" x14ac:dyDescent="0.2">
      <c r="A1040" s="58" t="s">
        <v>15</v>
      </c>
      <c r="B1040" s="58"/>
      <c r="C1040" s="59" t="s">
        <v>3</v>
      </c>
      <c r="D1040" s="59"/>
      <c r="E1040" s="59"/>
      <c r="F1040" s="59"/>
      <c r="G1040" s="59"/>
      <c r="H1040" s="59"/>
      <c r="I1040" s="59"/>
      <c r="J1040" s="35" t="s">
        <v>8</v>
      </c>
      <c r="K1040" s="35" t="s">
        <v>9</v>
      </c>
      <c r="L1040" s="35" t="s">
        <v>10</v>
      </c>
    </row>
    <row r="1041" spans="1:12 16383:16383" x14ac:dyDescent="0.2">
      <c r="A1041" s="52">
        <v>46107</v>
      </c>
      <c r="B1041" s="52"/>
      <c r="C1041" s="61" t="s">
        <v>363</v>
      </c>
      <c r="D1041" s="54"/>
      <c r="E1041" s="54"/>
      <c r="F1041" s="54"/>
      <c r="G1041" s="54"/>
      <c r="H1041" s="54"/>
      <c r="I1041" s="54"/>
      <c r="J1041" s="31">
        <v>1</v>
      </c>
      <c r="K1041" s="31"/>
      <c r="L1041" s="28"/>
    </row>
    <row r="1042" spans="1:12 16383:16383" x14ac:dyDescent="0.2">
      <c r="A1042" s="52"/>
      <c r="B1042" s="52"/>
      <c r="C1042" s="54"/>
      <c r="D1042" s="54"/>
      <c r="E1042" s="54"/>
      <c r="F1042" s="54"/>
      <c r="G1042" s="54"/>
      <c r="H1042" s="54"/>
      <c r="I1042" s="54"/>
      <c r="J1042" s="31"/>
      <c r="K1042" s="31"/>
      <c r="L1042" s="28"/>
    </row>
    <row r="1043" spans="1:12 16383:16383" x14ac:dyDescent="0.2">
      <c r="A1043" s="52"/>
      <c r="B1043" s="52"/>
      <c r="C1043" s="54"/>
      <c r="D1043" s="54"/>
      <c r="E1043" s="54"/>
      <c r="F1043" s="54"/>
      <c r="G1043" s="54"/>
      <c r="H1043" s="54"/>
      <c r="I1043" s="54"/>
      <c r="J1043" s="31"/>
      <c r="K1043" s="31"/>
      <c r="L1043" s="28"/>
    </row>
    <row r="1044" spans="1:12 16383:16383" x14ac:dyDescent="0.2">
      <c r="A1044" s="55" t="s">
        <v>16</v>
      </c>
      <c r="B1044" s="56"/>
      <c r="C1044" s="56"/>
      <c r="D1044" s="56"/>
      <c r="E1044" s="56"/>
      <c r="F1044" s="56"/>
      <c r="G1044" s="56"/>
      <c r="H1044" s="56"/>
      <c r="I1044" s="57"/>
      <c r="J1044" s="36">
        <f t="shared" ref="J1044:L1044" si="304">SUM(J1041:J1043)</f>
        <v>1</v>
      </c>
      <c r="K1044" s="36">
        <f t="shared" si="304"/>
        <v>0</v>
      </c>
      <c r="L1044" s="36">
        <f t="shared" si="304"/>
        <v>0</v>
      </c>
    </row>
    <row r="1045" spans="1:12 16383:16383" x14ac:dyDescent="0.2">
      <c r="A1045" s="27">
        <v>167</v>
      </c>
      <c r="B1045" s="28"/>
      <c r="C1045" s="28" t="s">
        <v>90</v>
      </c>
      <c r="D1045" s="46" t="s">
        <v>376</v>
      </c>
      <c r="E1045" s="30" t="s">
        <v>365</v>
      </c>
      <c r="F1045" s="31"/>
      <c r="G1045" s="31"/>
      <c r="H1045" s="31" t="s">
        <v>14</v>
      </c>
      <c r="I1045" s="31">
        <v>2</v>
      </c>
      <c r="J1045" s="32">
        <f t="shared" ref="J1045:K1045" si="305">+J1050</f>
        <v>0</v>
      </c>
      <c r="K1045" s="33">
        <f t="shared" si="305"/>
        <v>0</v>
      </c>
      <c r="L1045" s="38">
        <f>+I1045+J1045-K1045</f>
        <v>2</v>
      </c>
    </row>
    <row r="1046" spans="1:12 16383:16383" x14ac:dyDescent="0.2">
      <c r="A1046" s="58" t="s">
        <v>15</v>
      </c>
      <c r="B1046" s="58"/>
      <c r="C1046" s="59" t="s">
        <v>3</v>
      </c>
      <c r="D1046" s="59"/>
      <c r="E1046" s="59"/>
      <c r="F1046" s="59"/>
      <c r="G1046" s="59"/>
      <c r="H1046" s="59"/>
      <c r="I1046" s="59"/>
      <c r="J1046" s="35" t="s">
        <v>8</v>
      </c>
      <c r="K1046" s="35" t="s">
        <v>9</v>
      </c>
      <c r="L1046" s="35" t="s">
        <v>10</v>
      </c>
    </row>
    <row r="1047" spans="1:12 16383:16383" x14ac:dyDescent="0.2">
      <c r="A1047" s="52"/>
      <c r="B1047" s="52"/>
      <c r="C1047" s="54"/>
      <c r="D1047" s="54"/>
      <c r="E1047" s="54"/>
      <c r="F1047" s="54"/>
      <c r="G1047" s="54"/>
      <c r="H1047" s="54"/>
      <c r="I1047" s="54"/>
      <c r="J1047" s="31"/>
      <c r="K1047" s="31"/>
      <c r="L1047" s="28"/>
    </row>
    <row r="1048" spans="1:12 16383:16383" x14ac:dyDescent="0.2">
      <c r="A1048" s="52"/>
      <c r="B1048" s="52"/>
      <c r="C1048" s="54"/>
      <c r="D1048" s="54"/>
      <c r="E1048" s="54"/>
      <c r="F1048" s="54"/>
      <c r="G1048" s="54"/>
      <c r="H1048" s="54"/>
      <c r="I1048" s="54"/>
      <c r="J1048" s="31"/>
      <c r="K1048" s="31"/>
      <c r="L1048" s="28"/>
      <c r="XFC1048" s="1">
        <f>SUM(M1048:XFB1048)</f>
        <v>0</v>
      </c>
    </row>
    <row r="1049" spans="1:12 16383:16383" x14ac:dyDescent="0.2">
      <c r="A1049" s="52"/>
      <c r="B1049" s="52"/>
      <c r="C1049" s="54"/>
      <c r="D1049" s="54"/>
      <c r="E1049" s="54"/>
      <c r="F1049" s="54"/>
      <c r="G1049" s="54"/>
      <c r="H1049" s="54"/>
      <c r="I1049" s="54"/>
      <c r="J1049" s="31"/>
      <c r="K1049" s="31"/>
      <c r="L1049" s="28"/>
    </row>
    <row r="1050" spans="1:12 16383:16383" x14ac:dyDescent="0.2">
      <c r="A1050" s="55" t="s">
        <v>16</v>
      </c>
      <c r="B1050" s="56"/>
      <c r="C1050" s="56"/>
      <c r="D1050" s="56"/>
      <c r="E1050" s="56"/>
      <c r="F1050" s="56"/>
      <c r="G1050" s="56"/>
      <c r="H1050" s="56"/>
      <c r="I1050" s="57"/>
      <c r="J1050" s="36">
        <f t="shared" ref="J1050:L1050" si="306">SUM(J1047:J1049)</f>
        <v>0</v>
      </c>
      <c r="K1050" s="36">
        <f t="shared" si="306"/>
        <v>0</v>
      </c>
      <c r="L1050" s="36">
        <f t="shared" si="306"/>
        <v>0</v>
      </c>
    </row>
    <row r="1051" spans="1:12 16383:16383" x14ac:dyDescent="0.2">
      <c r="A1051" s="27">
        <v>168</v>
      </c>
      <c r="B1051" s="28"/>
      <c r="C1051" s="28" t="s">
        <v>109</v>
      </c>
      <c r="D1051" s="29" t="s">
        <v>110</v>
      </c>
      <c r="E1051" s="30" t="s">
        <v>365</v>
      </c>
      <c r="F1051" s="31"/>
      <c r="G1051" s="31"/>
      <c r="H1051" s="31" t="s">
        <v>14</v>
      </c>
      <c r="I1051" s="31">
        <v>1</v>
      </c>
      <c r="J1051" s="32">
        <f t="shared" ref="J1051:K1051" si="307">+J1056</f>
        <v>0</v>
      </c>
      <c r="K1051" s="33">
        <f t="shared" si="307"/>
        <v>0</v>
      </c>
      <c r="L1051" s="37">
        <f>+I1051+J1051-K1051</f>
        <v>1</v>
      </c>
      <c r="XFC1051" s="1">
        <f>SUM(M1051:XFB1051)</f>
        <v>0</v>
      </c>
    </row>
    <row r="1052" spans="1:12 16383:16383" x14ac:dyDescent="0.2">
      <c r="A1052" s="58" t="s">
        <v>15</v>
      </c>
      <c r="B1052" s="58"/>
      <c r="C1052" s="59" t="s">
        <v>3</v>
      </c>
      <c r="D1052" s="59"/>
      <c r="E1052" s="59"/>
      <c r="F1052" s="59"/>
      <c r="G1052" s="59"/>
      <c r="H1052" s="59"/>
      <c r="I1052" s="59"/>
      <c r="J1052" s="35" t="s">
        <v>8</v>
      </c>
      <c r="K1052" s="35" t="s">
        <v>9</v>
      </c>
      <c r="L1052" s="35" t="s">
        <v>10</v>
      </c>
    </row>
    <row r="1053" spans="1:12 16383:16383" x14ac:dyDescent="0.2">
      <c r="A1053" s="52"/>
      <c r="B1053" s="52"/>
      <c r="C1053" s="54"/>
      <c r="D1053" s="54"/>
      <c r="E1053" s="54"/>
      <c r="F1053" s="54"/>
      <c r="G1053" s="54"/>
      <c r="H1053" s="54"/>
      <c r="I1053" s="54"/>
      <c r="J1053" s="31"/>
      <c r="K1053" s="31"/>
      <c r="L1053" s="28"/>
    </row>
    <row r="1054" spans="1:12 16383:16383" x14ac:dyDescent="0.2">
      <c r="A1054" s="52"/>
      <c r="B1054" s="52"/>
      <c r="C1054" s="54"/>
      <c r="D1054" s="54"/>
      <c r="E1054" s="54"/>
      <c r="F1054" s="54"/>
      <c r="G1054" s="54"/>
      <c r="H1054" s="54"/>
      <c r="I1054" s="54"/>
      <c r="J1054" s="31"/>
      <c r="K1054" s="31"/>
      <c r="L1054" s="28"/>
    </row>
    <row r="1055" spans="1:12 16383:16383" x14ac:dyDescent="0.2">
      <c r="A1055" s="52"/>
      <c r="B1055" s="52"/>
      <c r="C1055" s="54"/>
      <c r="D1055" s="54"/>
      <c r="E1055" s="54"/>
      <c r="F1055" s="54"/>
      <c r="G1055" s="54"/>
      <c r="H1055" s="54"/>
      <c r="I1055" s="54"/>
      <c r="J1055" s="31"/>
      <c r="K1055" s="31"/>
      <c r="L1055" s="28"/>
    </row>
    <row r="1056" spans="1:12 16383:16383" x14ac:dyDescent="0.2">
      <c r="A1056" s="55" t="s">
        <v>16</v>
      </c>
      <c r="B1056" s="56"/>
      <c r="C1056" s="56"/>
      <c r="D1056" s="56"/>
      <c r="E1056" s="56"/>
      <c r="F1056" s="56"/>
      <c r="G1056" s="56"/>
      <c r="H1056" s="56"/>
      <c r="I1056" s="57"/>
      <c r="J1056" s="36">
        <f t="shared" ref="J1056:L1056" si="308">SUM(J1053:J1055)</f>
        <v>0</v>
      </c>
      <c r="K1056" s="36">
        <f t="shared" si="308"/>
        <v>0</v>
      </c>
      <c r="L1056" s="36">
        <f t="shared" si="308"/>
        <v>0</v>
      </c>
    </row>
    <row r="1057" spans="1:12" x14ac:dyDescent="0.2">
      <c r="A1057" s="27">
        <v>169</v>
      </c>
      <c r="B1057" s="28"/>
      <c r="C1057" s="28" t="s">
        <v>109</v>
      </c>
      <c r="D1057" s="46" t="s">
        <v>390</v>
      </c>
      <c r="E1057" s="30" t="s">
        <v>365</v>
      </c>
      <c r="F1057" s="31"/>
      <c r="G1057" s="31"/>
      <c r="H1057" s="31" t="s">
        <v>14</v>
      </c>
      <c r="I1057" s="31">
        <v>0</v>
      </c>
      <c r="J1057" s="32">
        <f t="shared" ref="J1057:K1057" si="309">+J1062</f>
        <v>2</v>
      </c>
      <c r="K1057" s="33">
        <f t="shared" si="309"/>
        <v>0</v>
      </c>
      <c r="L1057" s="37">
        <f>+I1057+J1057-K1057</f>
        <v>2</v>
      </c>
    </row>
    <row r="1058" spans="1:12" x14ac:dyDescent="0.2">
      <c r="A1058" s="58" t="s">
        <v>15</v>
      </c>
      <c r="B1058" s="58"/>
      <c r="C1058" s="59" t="s">
        <v>3</v>
      </c>
      <c r="D1058" s="59"/>
      <c r="E1058" s="59"/>
      <c r="F1058" s="59"/>
      <c r="G1058" s="59"/>
      <c r="H1058" s="59"/>
      <c r="I1058" s="59"/>
      <c r="J1058" s="35" t="s">
        <v>8</v>
      </c>
      <c r="K1058" s="35" t="s">
        <v>9</v>
      </c>
      <c r="L1058" s="35" t="s">
        <v>10</v>
      </c>
    </row>
    <row r="1059" spans="1:12" x14ac:dyDescent="0.2">
      <c r="A1059" s="52">
        <v>46107</v>
      </c>
      <c r="B1059" s="52"/>
      <c r="C1059" s="61" t="s">
        <v>391</v>
      </c>
      <c r="D1059" s="54"/>
      <c r="E1059" s="54"/>
      <c r="F1059" s="54"/>
      <c r="G1059" s="54"/>
      <c r="H1059" s="54"/>
      <c r="I1059" s="54"/>
      <c r="J1059" s="31">
        <v>1</v>
      </c>
      <c r="K1059" s="31"/>
      <c r="L1059" s="28"/>
    </row>
    <row r="1060" spans="1:12" x14ac:dyDescent="0.2">
      <c r="A1060" s="52">
        <v>46107</v>
      </c>
      <c r="B1060" s="52"/>
      <c r="C1060" s="61" t="s">
        <v>392</v>
      </c>
      <c r="D1060" s="54"/>
      <c r="E1060" s="54"/>
      <c r="F1060" s="54"/>
      <c r="G1060" s="54"/>
      <c r="H1060" s="54"/>
      <c r="I1060" s="54"/>
      <c r="J1060" s="31">
        <v>1</v>
      </c>
      <c r="K1060" s="31"/>
      <c r="L1060" s="28"/>
    </row>
    <row r="1061" spans="1:12" x14ac:dyDescent="0.2">
      <c r="A1061" s="52"/>
      <c r="B1061" s="52"/>
      <c r="C1061" s="54"/>
      <c r="D1061" s="54"/>
      <c r="E1061" s="54"/>
      <c r="F1061" s="54"/>
      <c r="G1061" s="54"/>
      <c r="H1061" s="54"/>
      <c r="I1061" s="54"/>
      <c r="J1061" s="31"/>
      <c r="K1061" s="31"/>
      <c r="L1061" s="28"/>
    </row>
    <row r="1062" spans="1:12" x14ac:dyDescent="0.2">
      <c r="A1062" s="55" t="s">
        <v>16</v>
      </c>
      <c r="B1062" s="56"/>
      <c r="C1062" s="56"/>
      <c r="D1062" s="56"/>
      <c r="E1062" s="56"/>
      <c r="F1062" s="56"/>
      <c r="G1062" s="56"/>
      <c r="H1062" s="56"/>
      <c r="I1062" s="57"/>
      <c r="J1062" s="36">
        <f t="shared" ref="J1062:L1062" si="310">SUM(J1059:J1061)</f>
        <v>2</v>
      </c>
      <c r="K1062" s="36">
        <f t="shared" si="310"/>
        <v>0</v>
      </c>
      <c r="L1062" s="36">
        <f t="shared" si="310"/>
        <v>0</v>
      </c>
    </row>
    <row r="1063" spans="1:12" x14ac:dyDescent="0.2">
      <c r="A1063" s="27">
        <v>170</v>
      </c>
      <c r="B1063" s="28"/>
      <c r="C1063" s="28" t="s">
        <v>105</v>
      </c>
      <c r="D1063" s="29" t="s">
        <v>106</v>
      </c>
      <c r="E1063" s="30" t="s">
        <v>365</v>
      </c>
      <c r="F1063" s="31"/>
      <c r="G1063" s="31"/>
      <c r="H1063" s="31" t="s">
        <v>14</v>
      </c>
      <c r="I1063" s="31">
        <v>1</v>
      </c>
      <c r="J1063" s="32">
        <f t="shared" ref="J1063:K1063" si="311">+J1068</f>
        <v>0</v>
      </c>
      <c r="K1063" s="33">
        <f t="shared" si="311"/>
        <v>0</v>
      </c>
      <c r="L1063" s="38">
        <f>+I1063+J1063-K1063</f>
        <v>1</v>
      </c>
    </row>
    <row r="1064" spans="1:12" x14ac:dyDescent="0.2">
      <c r="A1064" s="58" t="s">
        <v>15</v>
      </c>
      <c r="B1064" s="58"/>
      <c r="C1064" s="59" t="s">
        <v>3</v>
      </c>
      <c r="D1064" s="59"/>
      <c r="E1064" s="59"/>
      <c r="F1064" s="59"/>
      <c r="G1064" s="59"/>
      <c r="H1064" s="59"/>
      <c r="I1064" s="59"/>
      <c r="J1064" s="35" t="s">
        <v>8</v>
      </c>
      <c r="K1064" s="35" t="s">
        <v>9</v>
      </c>
      <c r="L1064" s="35" t="s">
        <v>10</v>
      </c>
    </row>
    <row r="1065" spans="1:12" x14ac:dyDescent="0.2">
      <c r="A1065" s="52"/>
      <c r="B1065" s="52"/>
      <c r="C1065" s="54"/>
      <c r="D1065" s="54"/>
      <c r="E1065" s="54"/>
      <c r="F1065" s="54"/>
      <c r="G1065" s="54"/>
      <c r="H1065" s="54"/>
      <c r="I1065" s="54"/>
      <c r="J1065" s="31"/>
      <c r="K1065" s="31"/>
      <c r="L1065" s="28"/>
    </row>
    <row r="1066" spans="1:12" x14ac:dyDescent="0.2">
      <c r="A1066" s="52"/>
      <c r="B1066" s="52"/>
      <c r="C1066" s="54"/>
      <c r="D1066" s="54"/>
      <c r="E1066" s="54"/>
      <c r="F1066" s="54"/>
      <c r="G1066" s="54"/>
      <c r="H1066" s="54"/>
      <c r="I1066" s="54"/>
      <c r="J1066" s="31"/>
      <c r="K1066" s="31"/>
      <c r="L1066" s="28"/>
    </row>
    <row r="1067" spans="1:12" x14ac:dyDescent="0.2">
      <c r="A1067" s="52"/>
      <c r="B1067" s="52"/>
      <c r="C1067" s="54"/>
      <c r="D1067" s="54"/>
      <c r="E1067" s="54"/>
      <c r="F1067" s="54"/>
      <c r="G1067" s="54"/>
      <c r="H1067" s="54"/>
      <c r="I1067" s="54"/>
      <c r="J1067" s="31"/>
      <c r="K1067" s="31"/>
      <c r="L1067" s="28"/>
    </row>
    <row r="1068" spans="1:12" x14ac:dyDescent="0.2">
      <c r="A1068" s="55" t="s">
        <v>16</v>
      </c>
      <c r="B1068" s="56"/>
      <c r="C1068" s="56"/>
      <c r="D1068" s="56"/>
      <c r="E1068" s="56"/>
      <c r="F1068" s="56"/>
      <c r="G1068" s="56"/>
      <c r="H1068" s="56"/>
      <c r="I1068" s="57"/>
      <c r="J1068" s="36">
        <f t="shared" ref="J1068:L1068" si="312">SUM(J1065:J1067)</f>
        <v>0</v>
      </c>
      <c r="K1068" s="36">
        <f t="shared" si="312"/>
        <v>0</v>
      </c>
      <c r="L1068" s="36">
        <f t="shared" si="312"/>
        <v>0</v>
      </c>
    </row>
    <row r="1069" spans="1:12" x14ac:dyDescent="0.2">
      <c r="A1069" s="27">
        <v>171</v>
      </c>
      <c r="B1069" s="28"/>
      <c r="C1069" s="28" t="s">
        <v>105</v>
      </c>
      <c r="D1069" s="46" t="s">
        <v>366</v>
      </c>
      <c r="E1069" s="30" t="s">
        <v>365</v>
      </c>
      <c r="F1069" s="31"/>
      <c r="G1069" s="31"/>
      <c r="H1069" s="31" t="s">
        <v>14</v>
      </c>
      <c r="I1069" s="31">
        <v>0</v>
      </c>
      <c r="J1069" s="32">
        <f t="shared" ref="J1069:K1069" si="313">+J1074</f>
        <v>1</v>
      </c>
      <c r="K1069" s="33">
        <f t="shared" si="313"/>
        <v>0</v>
      </c>
      <c r="L1069" s="38">
        <f>+I1069+J1069-K1069</f>
        <v>1</v>
      </c>
    </row>
    <row r="1070" spans="1:12" x14ac:dyDescent="0.2">
      <c r="A1070" s="58" t="s">
        <v>15</v>
      </c>
      <c r="B1070" s="58"/>
      <c r="C1070" s="59" t="s">
        <v>3</v>
      </c>
      <c r="D1070" s="59"/>
      <c r="E1070" s="59"/>
      <c r="F1070" s="59"/>
      <c r="G1070" s="59"/>
      <c r="H1070" s="59"/>
      <c r="I1070" s="59"/>
      <c r="J1070" s="35" t="s">
        <v>8</v>
      </c>
      <c r="K1070" s="35" t="s">
        <v>9</v>
      </c>
      <c r="L1070" s="35" t="s">
        <v>10</v>
      </c>
    </row>
    <row r="1071" spans="1:12" x14ac:dyDescent="0.2">
      <c r="A1071" s="52">
        <v>46107</v>
      </c>
      <c r="B1071" s="52"/>
      <c r="C1071" s="61" t="s">
        <v>363</v>
      </c>
      <c r="D1071" s="54"/>
      <c r="E1071" s="54"/>
      <c r="F1071" s="54"/>
      <c r="G1071" s="54"/>
      <c r="H1071" s="54"/>
      <c r="I1071" s="54"/>
      <c r="J1071" s="31">
        <v>1</v>
      </c>
      <c r="K1071" s="31"/>
      <c r="L1071" s="28"/>
    </row>
    <row r="1072" spans="1:12" x14ac:dyDescent="0.2">
      <c r="A1072" s="52"/>
      <c r="B1072" s="52"/>
      <c r="C1072" s="54"/>
      <c r="D1072" s="54"/>
      <c r="E1072" s="54"/>
      <c r="F1072" s="54"/>
      <c r="G1072" s="54"/>
      <c r="H1072" s="54"/>
      <c r="I1072" s="54"/>
      <c r="J1072" s="31"/>
      <c r="K1072" s="31"/>
      <c r="L1072" s="28"/>
    </row>
    <row r="1073" spans="1:12" x14ac:dyDescent="0.2">
      <c r="A1073" s="52"/>
      <c r="B1073" s="52"/>
      <c r="C1073" s="54"/>
      <c r="D1073" s="54"/>
      <c r="E1073" s="54"/>
      <c r="F1073" s="54"/>
      <c r="G1073" s="54"/>
      <c r="H1073" s="54"/>
      <c r="I1073" s="54"/>
      <c r="J1073" s="31"/>
      <c r="K1073" s="31"/>
      <c r="L1073" s="28"/>
    </row>
    <row r="1074" spans="1:12" x14ac:dyDescent="0.2">
      <c r="A1074" s="55" t="s">
        <v>16</v>
      </c>
      <c r="B1074" s="56"/>
      <c r="C1074" s="56"/>
      <c r="D1074" s="56"/>
      <c r="E1074" s="56"/>
      <c r="F1074" s="56"/>
      <c r="G1074" s="56"/>
      <c r="H1074" s="56"/>
      <c r="I1074" s="57"/>
      <c r="J1074" s="36">
        <f t="shared" ref="J1074:L1074" si="314">SUM(J1071:J1073)</f>
        <v>1</v>
      </c>
      <c r="K1074" s="36">
        <f t="shared" si="314"/>
        <v>0</v>
      </c>
      <c r="L1074" s="36">
        <f t="shared" si="314"/>
        <v>0</v>
      </c>
    </row>
    <row r="1075" spans="1:12" x14ac:dyDescent="0.2">
      <c r="A1075" s="27">
        <v>172</v>
      </c>
      <c r="B1075" s="28"/>
      <c r="C1075" s="28" t="s">
        <v>99</v>
      </c>
      <c r="D1075" s="51" t="s">
        <v>421</v>
      </c>
      <c r="E1075" s="30" t="s">
        <v>365</v>
      </c>
      <c r="F1075" s="31"/>
      <c r="G1075" s="31"/>
      <c r="H1075" s="31" t="s">
        <v>14</v>
      </c>
      <c r="I1075" s="31">
        <v>1</v>
      </c>
      <c r="J1075" s="32">
        <f t="shared" ref="J1075:K1075" si="315">+J1080</f>
        <v>0</v>
      </c>
      <c r="K1075" s="33">
        <f t="shared" si="315"/>
        <v>0</v>
      </c>
      <c r="L1075" s="37">
        <f>+I1075+J1075-K1075</f>
        <v>1</v>
      </c>
    </row>
    <row r="1076" spans="1:12" x14ac:dyDescent="0.2">
      <c r="A1076" s="58" t="s">
        <v>15</v>
      </c>
      <c r="B1076" s="58"/>
      <c r="C1076" s="59" t="s">
        <v>3</v>
      </c>
      <c r="D1076" s="59"/>
      <c r="E1076" s="59"/>
      <c r="F1076" s="59"/>
      <c r="G1076" s="59"/>
      <c r="H1076" s="59"/>
      <c r="I1076" s="59"/>
      <c r="J1076" s="35" t="s">
        <v>8</v>
      </c>
      <c r="K1076" s="35" t="s">
        <v>9</v>
      </c>
      <c r="L1076" s="35" t="s">
        <v>10</v>
      </c>
    </row>
    <row r="1077" spans="1:12" x14ac:dyDescent="0.2">
      <c r="A1077" s="52"/>
      <c r="B1077" s="52"/>
      <c r="C1077" s="54"/>
      <c r="D1077" s="54"/>
      <c r="E1077" s="54"/>
      <c r="F1077" s="54"/>
      <c r="G1077" s="54"/>
      <c r="H1077" s="54"/>
      <c r="I1077" s="54"/>
      <c r="J1077" s="31"/>
      <c r="K1077" s="31"/>
      <c r="L1077" s="28"/>
    </row>
    <row r="1078" spans="1:12" x14ac:dyDescent="0.2">
      <c r="A1078" s="52"/>
      <c r="B1078" s="52"/>
      <c r="C1078" s="54"/>
      <c r="D1078" s="54"/>
      <c r="E1078" s="54"/>
      <c r="F1078" s="54"/>
      <c r="G1078" s="54"/>
      <c r="H1078" s="54"/>
      <c r="I1078" s="54"/>
      <c r="J1078" s="31"/>
      <c r="K1078" s="31"/>
      <c r="L1078" s="28"/>
    </row>
    <row r="1079" spans="1:12" x14ac:dyDescent="0.2">
      <c r="A1079" s="52"/>
      <c r="B1079" s="52"/>
      <c r="C1079" s="54"/>
      <c r="D1079" s="54"/>
      <c r="E1079" s="54"/>
      <c r="F1079" s="54"/>
      <c r="G1079" s="54"/>
      <c r="H1079" s="54"/>
      <c r="I1079" s="54"/>
      <c r="J1079" s="31"/>
      <c r="K1079" s="31"/>
      <c r="L1079" s="28"/>
    </row>
    <row r="1080" spans="1:12" x14ac:dyDescent="0.2">
      <c r="A1080" s="55" t="s">
        <v>16</v>
      </c>
      <c r="B1080" s="56"/>
      <c r="C1080" s="56"/>
      <c r="D1080" s="56"/>
      <c r="E1080" s="56"/>
      <c r="F1080" s="56"/>
      <c r="G1080" s="56"/>
      <c r="H1080" s="56"/>
      <c r="I1080" s="57"/>
      <c r="J1080" s="36">
        <f t="shared" ref="J1080:L1080" si="316">SUM(J1077:J1079)</f>
        <v>0</v>
      </c>
      <c r="K1080" s="36">
        <f t="shared" si="316"/>
        <v>0</v>
      </c>
      <c r="L1080" s="36">
        <f t="shared" si="316"/>
        <v>0</v>
      </c>
    </row>
    <row r="1081" spans="1:12" x14ac:dyDescent="0.2">
      <c r="A1081" s="27">
        <v>173</v>
      </c>
      <c r="B1081" s="28"/>
      <c r="C1081" s="47" t="s">
        <v>378</v>
      </c>
      <c r="D1081" s="46" t="s">
        <v>382</v>
      </c>
      <c r="E1081" s="30" t="s">
        <v>365</v>
      </c>
      <c r="F1081" s="31"/>
      <c r="G1081" s="31"/>
      <c r="H1081" s="31" t="s">
        <v>14</v>
      </c>
      <c r="I1081" s="31"/>
      <c r="J1081" s="32">
        <f t="shared" ref="J1081:K1081" si="317">+J1104</f>
        <v>9</v>
      </c>
      <c r="K1081" s="33">
        <f t="shared" si="317"/>
        <v>0</v>
      </c>
      <c r="L1081" s="37">
        <f>+I1081+J1081-K1081</f>
        <v>9</v>
      </c>
    </row>
    <row r="1082" spans="1:12" x14ac:dyDescent="0.2">
      <c r="A1082" s="58" t="s">
        <v>15</v>
      </c>
      <c r="B1082" s="58"/>
      <c r="C1082" s="59" t="s">
        <v>3</v>
      </c>
      <c r="D1082" s="59"/>
      <c r="E1082" s="59"/>
      <c r="F1082" s="59"/>
      <c r="G1082" s="59"/>
      <c r="H1082" s="59"/>
      <c r="I1082" s="59"/>
      <c r="J1082" s="35" t="s">
        <v>8</v>
      </c>
      <c r="K1082" s="35" t="s">
        <v>9</v>
      </c>
      <c r="L1082" s="35" t="s">
        <v>10</v>
      </c>
    </row>
    <row r="1083" spans="1:12" x14ac:dyDescent="0.2">
      <c r="A1083" s="52">
        <v>46107</v>
      </c>
      <c r="B1083" s="52"/>
      <c r="C1083" s="63">
        <v>95141024781</v>
      </c>
      <c r="D1083" s="54"/>
      <c r="E1083" s="54"/>
      <c r="F1083" s="54"/>
      <c r="G1083" s="54"/>
      <c r="H1083" s="54"/>
      <c r="I1083" s="54"/>
      <c r="J1083" s="31"/>
      <c r="K1083" s="31"/>
      <c r="L1083" s="28"/>
    </row>
    <row r="1084" spans="1:12" x14ac:dyDescent="0.2">
      <c r="A1084" s="52">
        <v>46107</v>
      </c>
      <c r="B1084" s="52"/>
      <c r="C1084" s="63">
        <v>95141024782</v>
      </c>
      <c r="D1084" s="54"/>
      <c r="E1084" s="54"/>
      <c r="F1084" s="54"/>
      <c r="G1084" s="54"/>
      <c r="H1084" s="54"/>
      <c r="I1084" s="54"/>
      <c r="J1084" s="31">
        <v>1</v>
      </c>
      <c r="K1084" s="31"/>
      <c r="L1084" s="28"/>
    </row>
    <row r="1085" spans="1:12" x14ac:dyDescent="0.2">
      <c r="A1085" s="52">
        <v>46107</v>
      </c>
      <c r="B1085" s="52"/>
      <c r="C1085" s="63">
        <v>95141024815</v>
      </c>
      <c r="D1085" s="54"/>
      <c r="E1085" s="54"/>
      <c r="F1085" s="54"/>
      <c r="G1085" s="54"/>
      <c r="H1085" s="54"/>
      <c r="I1085" s="54"/>
      <c r="J1085" s="31"/>
      <c r="K1085" s="31"/>
      <c r="L1085" s="28"/>
    </row>
    <row r="1086" spans="1:12" x14ac:dyDescent="0.2">
      <c r="A1086" s="52">
        <v>46107</v>
      </c>
      <c r="B1086" s="52"/>
      <c r="C1086" s="63">
        <v>95141024831</v>
      </c>
      <c r="D1086" s="54"/>
      <c r="E1086" s="54"/>
      <c r="F1086" s="54"/>
      <c r="G1086" s="54"/>
      <c r="H1086" s="54"/>
      <c r="I1086" s="54"/>
      <c r="J1086" s="31"/>
      <c r="K1086" s="31"/>
      <c r="L1086" s="28"/>
    </row>
    <row r="1087" spans="1:12" x14ac:dyDescent="0.2">
      <c r="A1087" s="52">
        <v>46107</v>
      </c>
      <c r="B1087" s="52"/>
      <c r="C1087" s="63">
        <v>95141024843</v>
      </c>
      <c r="D1087" s="54"/>
      <c r="E1087" s="54"/>
      <c r="F1087" s="54"/>
      <c r="G1087" s="54"/>
      <c r="H1087" s="54"/>
      <c r="I1087" s="54"/>
      <c r="J1087" s="31">
        <v>1</v>
      </c>
      <c r="K1087" s="31"/>
      <c r="L1087" s="28"/>
    </row>
    <row r="1088" spans="1:12" x14ac:dyDescent="0.2">
      <c r="A1088" s="52">
        <v>46107</v>
      </c>
      <c r="B1088" s="52"/>
      <c r="C1088" s="63">
        <v>95141024859</v>
      </c>
      <c r="D1088" s="54"/>
      <c r="E1088" s="54"/>
      <c r="F1088" s="54"/>
      <c r="G1088" s="54"/>
      <c r="H1088" s="54"/>
      <c r="I1088" s="54"/>
      <c r="J1088" s="31"/>
      <c r="K1088" s="31"/>
      <c r="L1088" s="28"/>
    </row>
    <row r="1089" spans="1:12" x14ac:dyDescent="0.2">
      <c r="A1089" s="52">
        <v>46107</v>
      </c>
      <c r="B1089" s="52"/>
      <c r="C1089" s="63">
        <v>95141024890</v>
      </c>
      <c r="D1089" s="54"/>
      <c r="E1089" s="54"/>
      <c r="F1089" s="54"/>
      <c r="G1089" s="54"/>
      <c r="H1089" s="54"/>
      <c r="I1089" s="54"/>
      <c r="J1089" s="31"/>
      <c r="K1089" s="31"/>
      <c r="L1089" s="28"/>
    </row>
    <row r="1090" spans="1:12" x14ac:dyDescent="0.2">
      <c r="A1090" s="52">
        <v>46107</v>
      </c>
      <c r="B1090" s="52"/>
      <c r="C1090" s="63">
        <v>95141024893</v>
      </c>
      <c r="D1090" s="54"/>
      <c r="E1090" s="54"/>
      <c r="F1090" s="54"/>
      <c r="G1090" s="54"/>
      <c r="H1090" s="54"/>
      <c r="I1090" s="54"/>
      <c r="J1090" s="31"/>
      <c r="K1090" s="31"/>
      <c r="L1090" s="28"/>
    </row>
    <row r="1091" spans="1:12" x14ac:dyDescent="0.2">
      <c r="A1091" s="52">
        <v>46107</v>
      </c>
      <c r="B1091" s="52"/>
      <c r="C1091" s="63">
        <v>95141024919</v>
      </c>
      <c r="D1091" s="54"/>
      <c r="E1091" s="54"/>
      <c r="F1091" s="54"/>
      <c r="G1091" s="54"/>
      <c r="H1091" s="54"/>
      <c r="I1091" s="54"/>
      <c r="J1091" s="31"/>
      <c r="K1091" s="31"/>
      <c r="L1091" s="28"/>
    </row>
    <row r="1092" spans="1:12" x14ac:dyDescent="0.2">
      <c r="A1092" s="52">
        <v>46107</v>
      </c>
      <c r="B1092" s="52"/>
      <c r="C1092" s="63">
        <v>95141024937</v>
      </c>
      <c r="D1092" s="54"/>
      <c r="E1092" s="54"/>
      <c r="F1092" s="54"/>
      <c r="G1092" s="54"/>
      <c r="H1092" s="54"/>
      <c r="I1092" s="54"/>
      <c r="J1092" s="31">
        <v>1</v>
      </c>
      <c r="K1092" s="31"/>
      <c r="L1092" s="28"/>
    </row>
    <row r="1093" spans="1:12" x14ac:dyDescent="0.2">
      <c r="A1093" s="52">
        <v>46107</v>
      </c>
      <c r="B1093" s="52"/>
      <c r="C1093" s="64">
        <v>95141024986</v>
      </c>
      <c r="D1093" s="54"/>
      <c r="E1093" s="54"/>
      <c r="F1093" s="54"/>
      <c r="G1093" s="54"/>
      <c r="H1093" s="54"/>
      <c r="I1093" s="54"/>
      <c r="J1093" s="31">
        <v>1</v>
      </c>
      <c r="K1093" s="31"/>
      <c r="L1093" s="28"/>
    </row>
    <row r="1094" spans="1:12" x14ac:dyDescent="0.2">
      <c r="A1094" s="52">
        <v>46107</v>
      </c>
      <c r="B1094" s="52"/>
      <c r="C1094" s="63">
        <v>95141024987</v>
      </c>
      <c r="D1094" s="54"/>
      <c r="E1094" s="54"/>
      <c r="F1094" s="54"/>
      <c r="G1094" s="54"/>
      <c r="H1094" s="54"/>
      <c r="I1094" s="54"/>
      <c r="J1094" s="31"/>
      <c r="K1094" s="31"/>
      <c r="L1094" s="28"/>
    </row>
    <row r="1095" spans="1:12" x14ac:dyDescent="0.2">
      <c r="A1095" s="52">
        <v>46107</v>
      </c>
      <c r="B1095" s="52"/>
      <c r="C1095" s="63">
        <v>95141024996</v>
      </c>
      <c r="D1095" s="54"/>
      <c r="E1095" s="54"/>
      <c r="F1095" s="54"/>
      <c r="G1095" s="54"/>
      <c r="H1095" s="54"/>
      <c r="I1095" s="54"/>
      <c r="J1095" s="31">
        <v>1</v>
      </c>
      <c r="K1095" s="31"/>
      <c r="L1095" s="28"/>
    </row>
    <row r="1096" spans="1:12" x14ac:dyDescent="0.2">
      <c r="A1096" s="52">
        <v>46107</v>
      </c>
      <c r="B1096" s="52"/>
      <c r="C1096" s="64">
        <v>95141025022</v>
      </c>
      <c r="D1096" s="54"/>
      <c r="E1096" s="54"/>
      <c r="F1096" s="54"/>
      <c r="G1096" s="54"/>
      <c r="H1096" s="54"/>
      <c r="I1096" s="54"/>
      <c r="J1096" s="31">
        <v>1</v>
      </c>
      <c r="K1096" s="31"/>
      <c r="L1096" s="28"/>
    </row>
    <row r="1097" spans="1:12" x14ac:dyDescent="0.2">
      <c r="A1097" s="52">
        <v>46107</v>
      </c>
      <c r="B1097" s="52"/>
      <c r="C1097" s="64">
        <v>95141025025</v>
      </c>
      <c r="D1097" s="54"/>
      <c r="E1097" s="54"/>
      <c r="F1097" s="54"/>
      <c r="G1097" s="54"/>
      <c r="H1097" s="54"/>
      <c r="I1097" s="54"/>
      <c r="J1097" s="31">
        <v>1</v>
      </c>
      <c r="K1097" s="31"/>
      <c r="L1097" s="28"/>
    </row>
    <row r="1098" spans="1:12" x14ac:dyDescent="0.2">
      <c r="A1098" s="52">
        <v>46107</v>
      </c>
      <c r="B1098" s="52"/>
      <c r="C1098" s="63">
        <v>95141025033</v>
      </c>
      <c r="D1098" s="54"/>
      <c r="E1098" s="54"/>
      <c r="F1098" s="54"/>
      <c r="G1098" s="54"/>
      <c r="H1098" s="54"/>
      <c r="I1098" s="54"/>
      <c r="J1098" s="31"/>
      <c r="K1098" s="31"/>
      <c r="L1098" s="28"/>
    </row>
    <row r="1099" spans="1:12" x14ac:dyDescent="0.2">
      <c r="A1099" s="52">
        <v>46107</v>
      </c>
      <c r="B1099" s="52"/>
      <c r="C1099" s="63">
        <v>95141025035</v>
      </c>
      <c r="D1099" s="54"/>
      <c r="E1099" s="54"/>
      <c r="F1099" s="54"/>
      <c r="G1099" s="54"/>
      <c r="H1099" s="54"/>
      <c r="I1099" s="54"/>
      <c r="J1099" s="31"/>
      <c r="K1099" s="31"/>
      <c r="L1099" s="28"/>
    </row>
    <row r="1100" spans="1:12" x14ac:dyDescent="0.2">
      <c r="A1100" s="52">
        <v>46107</v>
      </c>
      <c r="B1100" s="52"/>
      <c r="C1100" s="63">
        <v>95141025051</v>
      </c>
      <c r="D1100" s="54"/>
      <c r="E1100" s="54"/>
      <c r="F1100" s="54"/>
      <c r="G1100" s="54"/>
      <c r="H1100" s="54"/>
      <c r="I1100" s="54"/>
      <c r="J1100" s="31"/>
      <c r="K1100" s="31"/>
      <c r="L1100" s="28"/>
    </row>
    <row r="1101" spans="1:12" x14ac:dyDescent="0.2">
      <c r="A1101" s="52">
        <v>46107</v>
      </c>
      <c r="B1101" s="52"/>
      <c r="C1101" s="64">
        <v>95141025056</v>
      </c>
      <c r="D1101" s="54"/>
      <c r="E1101" s="54"/>
      <c r="F1101" s="54"/>
      <c r="G1101" s="54"/>
      <c r="H1101" s="54"/>
      <c r="I1101" s="54"/>
      <c r="J1101" s="31">
        <v>1</v>
      </c>
      <c r="K1101" s="31"/>
      <c r="L1101" s="28"/>
    </row>
    <row r="1102" spans="1:12" x14ac:dyDescent="0.2">
      <c r="A1102" s="52">
        <v>46107</v>
      </c>
      <c r="B1102" s="52"/>
      <c r="C1102" s="63">
        <v>95141025085</v>
      </c>
      <c r="D1102" s="54"/>
      <c r="E1102" s="54"/>
      <c r="F1102" s="54"/>
      <c r="G1102" s="54"/>
      <c r="H1102" s="54"/>
      <c r="I1102" s="54"/>
      <c r="J1102" s="31"/>
      <c r="K1102" s="31"/>
      <c r="L1102" s="28"/>
    </row>
    <row r="1103" spans="1:12" x14ac:dyDescent="0.2">
      <c r="A1103" s="52">
        <v>46107</v>
      </c>
      <c r="B1103" s="52"/>
      <c r="C1103" s="63">
        <v>95141025057</v>
      </c>
      <c r="D1103" s="54"/>
      <c r="E1103" s="54"/>
      <c r="F1103" s="54"/>
      <c r="G1103" s="54"/>
      <c r="H1103" s="54"/>
      <c r="I1103" s="54"/>
      <c r="J1103" s="31">
        <v>1</v>
      </c>
      <c r="K1103" s="31"/>
      <c r="L1103" s="28"/>
    </row>
    <row r="1104" spans="1:12" x14ac:dyDescent="0.2">
      <c r="A1104" s="55" t="s">
        <v>16</v>
      </c>
      <c r="B1104" s="56"/>
      <c r="C1104" s="56"/>
      <c r="D1104" s="56"/>
      <c r="E1104" s="56"/>
      <c r="F1104" s="56"/>
      <c r="G1104" s="56"/>
      <c r="H1104" s="56"/>
      <c r="I1104" s="57"/>
      <c r="J1104" s="36">
        <f>SUM(J1083:J1103)</f>
        <v>9</v>
      </c>
      <c r="K1104" s="36">
        <f>SUM(K1083:K1103)</f>
        <v>0</v>
      </c>
      <c r="L1104" s="36">
        <f>SUM(L1083:L1103)</f>
        <v>0</v>
      </c>
    </row>
    <row r="1105" spans="1:12" x14ac:dyDescent="0.2">
      <c r="A1105" s="27">
        <v>174</v>
      </c>
      <c r="B1105" s="28"/>
      <c r="C1105" s="47" t="s">
        <v>378</v>
      </c>
      <c r="D1105" s="46" t="s">
        <v>381</v>
      </c>
      <c r="E1105" s="30" t="s">
        <v>365</v>
      </c>
      <c r="F1105" s="31"/>
      <c r="G1105" s="31"/>
      <c r="H1105" s="31" t="s">
        <v>14</v>
      </c>
      <c r="I1105" s="31"/>
      <c r="J1105" s="32">
        <f t="shared" ref="J1105:K1105" si="318">+J1128</f>
        <v>11</v>
      </c>
      <c r="K1105" s="33">
        <f t="shared" si="318"/>
        <v>0</v>
      </c>
      <c r="L1105" s="37">
        <f>+I1105+J1105-K1105</f>
        <v>11</v>
      </c>
    </row>
    <row r="1106" spans="1:12" x14ac:dyDescent="0.2">
      <c r="A1106" s="58" t="s">
        <v>15</v>
      </c>
      <c r="B1106" s="58"/>
      <c r="C1106" s="59" t="s">
        <v>3</v>
      </c>
      <c r="D1106" s="59"/>
      <c r="E1106" s="59"/>
      <c r="F1106" s="59"/>
      <c r="G1106" s="59"/>
      <c r="H1106" s="59"/>
      <c r="I1106" s="59"/>
      <c r="J1106" s="35" t="s">
        <v>8</v>
      </c>
      <c r="K1106" s="35" t="s">
        <v>9</v>
      </c>
      <c r="L1106" s="35" t="s">
        <v>10</v>
      </c>
    </row>
    <row r="1107" spans="1:12" x14ac:dyDescent="0.2">
      <c r="A1107" s="52">
        <v>46107</v>
      </c>
      <c r="B1107" s="52"/>
      <c r="C1107" s="63">
        <v>95141024781</v>
      </c>
      <c r="D1107" s="54"/>
      <c r="E1107" s="54"/>
      <c r="F1107" s="54"/>
      <c r="G1107" s="54"/>
      <c r="H1107" s="54"/>
      <c r="I1107" s="54"/>
      <c r="J1107" s="31"/>
      <c r="K1107" s="31"/>
      <c r="L1107" s="28"/>
    </row>
    <row r="1108" spans="1:12" x14ac:dyDescent="0.2">
      <c r="A1108" s="52">
        <v>46107</v>
      </c>
      <c r="B1108" s="52"/>
      <c r="C1108" s="64" t="s">
        <v>385</v>
      </c>
      <c r="D1108" s="54"/>
      <c r="E1108" s="54"/>
      <c r="F1108" s="54"/>
      <c r="G1108" s="54"/>
      <c r="H1108" s="54"/>
      <c r="I1108" s="54"/>
      <c r="J1108" s="31">
        <v>1</v>
      </c>
      <c r="K1108" s="31"/>
      <c r="L1108" s="28"/>
    </row>
    <row r="1109" spans="1:12" x14ac:dyDescent="0.2">
      <c r="A1109" s="52">
        <v>46107</v>
      </c>
      <c r="B1109" s="52"/>
      <c r="C1109" s="63">
        <v>95141024815</v>
      </c>
      <c r="D1109" s="54"/>
      <c r="E1109" s="54"/>
      <c r="F1109" s="54"/>
      <c r="G1109" s="54"/>
      <c r="H1109" s="54"/>
      <c r="I1109" s="54"/>
      <c r="J1109" s="31"/>
      <c r="K1109" s="31"/>
      <c r="L1109" s="28"/>
    </row>
    <row r="1110" spans="1:12" x14ac:dyDescent="0.2">
      <c r="A1110" s="52">
        <v>46107</v>
      </c>
      <c r="B1110" s="52"/>
      <c r="C1110" s="63">
        <v>95141024831</v>
      </c>
      <c r="D1110" s="54"/>
      <c r="E1110" s="54"/>
      <c r="F1110" s="54"/>
      <c r="G1110" s="54"/>
      <c r="H1110" s="54"/>
      <c r="I1110" s="54"/>
      <c r="J1110" s="31">
        <v>1</v>
      </c>
      <c r="K1110" s="31"/>
      <c r="L1110" s="28"/>
    </row>
    <row r="1111" spans="1:12" x14ac:dyDescent="0.2">
      <c r="A1111" s="52">
        <v>46107</v>
      </c>
      <c r="B1111" s="52"/>
      <c r="C1111" s="63">
        <v>95141024843</v>
      </c>
      <c r="D1111" s="54"/>
      <c r="E1111" s="54"/>
      <c r="F1111" s="54"/>
      <c r="G1111" s="54"/>
      <c r="H1111" s="54"/>
      <c r="I1111" s="54"/>
      <c r="J1111" s="31">
        <v>1</v>
      </c>
      <c r="K1111" s="31"/>
      <c r="L1111" s="28"/>
    </row>
    <row r="1112" spans="1:12" x14ac:dyDescent="0.2">
      <c r="A1112" s="52">
        <v>46107</v>
      </c>
      <c r="B1112" s="52"/>
      <c r="C1112" s="63">
        <v>95141024859</v>
      </c>
      <c r="D1112" s="54"/>
      <c r="E1112" s="54"/>
      <c r="F1112" s="54"/>
      <c r="G1112" s="54"/>
      <c r="H1112" s="54"/>
      <c r="I1112" s="54"/>
      <c r="J1112" s="31"/>
      <c r="K1112" s="31"/>
      <c r="L1112" s="28"/>
    </row>
    <row r="1113" spans="1:12" x14ac:dyDescent="0.2">
      <c r="A1113" s="52">
        <v>46107</v>
      </c>
      <c r="B1113" s="52"/>
      <c r="C1113" s="63">
        <v>95141024890</v>
      </c>
      <c r="D1113" s="54"/>
      <c r="E1113" s="54"/>
      <c r="F1113" s="54"/>
      <c r="G1113" s="54"/>
      <c r="H1113" s="54"/>
      <c r="I1113" s="54"/>
      <c r="J1113" s="48">
        <v>1</v>
      </c>
      <c r="K1113" s="31"/>
      <c r="L1113" s="28"/>
    </row>
    <row r="1114" spans="1:12" x14ac:dyDescent="0.2">
      <c r="A1114" s="52">
        <v>46107</v>
      </c>
      <c r="B1114" s="52"/>
      <c r="C1114" s="63">
        <v>95141024893</v>
      </c>
      <c r="D1114" s="54"/>
      <c r="E1114" s="54"/>
      <c r="F1114" s="54"/>
      <c r="G1114" s="54"/>
      <c r="H1114" s="54"/>
      <c r="I1114" s="54"/>
      <c r="J1114" s="31"/>
      <c r="K1114" s="31"/>
      <c r="L1114" s="28"/>
    </row>
    <row r="1115" spans="1:12" x14ac:dyDescent="0.2">
      <c r="A1115" s="52">
        <v>46107</v>
      </c>
      <c r="B1115" s="52"/>
      <c r="C1115" s="63">
        <v>95141024919</v>
      </c>
      <c r="D1115" s="54"/>
      <c r="E1115" s="54"/>
      <c r="F1115" s="54"/>
      <c r="G1115" s="54"/>
      <c r="H1115" s="54"/>
      <c r="I1115" s="54"/>
      <c r="J1115" s="48">
        <v>1</v>
      </c>
      <c r="K1115" s="31"/>
      <c r="L1115" s="28"/>
    </row>
    <row r="1116" spans="1:12" x14ac:dyDescent="0.2">
      <c r="A1116" s="52">
        <v>46107</v>
      </c>
      <c r="B1116" s="52"/>
      <c r="C1116" s="64" t="s">
        <v>383</v>
      </c>
      <c r="D1116" s="54"/>
      <c r="E1116" s="54"/>
      <c r="F1116" s="54"/>
      <c r="G1116" s="54"/>
      <c r="H1116" s="54"/>
      <c r="I1116" s="54"/>
      <c r="J1116" s="31">
        <v>1</v>
      </c>
      <c r="K1116" s="31"/>
      <c r="L1116" s="28"/>
    </row>
    <row r="1117" spans="1:12" x14ac:dyDescent="0.2">
      <c r="A1117" s="52">
        <v>46107</v>
      </c>
      <c r="B1117" s="52"/>
      <c r="C1117" s="64">
        <v>95141024986</v>
      </c>
      <c r="D1117" s="54"/>
      <c r="E1117" s="54"/>
      <c r="F1117" s="54"/>
      <c r="G1117" s="54"/>
      <c r="H1117" s="54"/>
      <c r="I1117" s="54"/>
      <c r="J1117" s="31">
        <v>1</v>
      </c>
      <c r="K1117" s="31"/>
      <c r="L1117" s="28"/>
    </row>
    <row r="1118" spans="1:12" x14ac:dyDescent="0.2">
      <c r="A1118" s="52">
        <v>46107</v>
      </c>
      <c r="B1118" s="52"/>
      <c r="C1118" s="63">
        <v>95141024987</v>
      </c>
      <c r="D1118" s="54"/>
      <c r="E1118" s="54"/>
      <c r="F1118" s="54"/>
      <c r="G1118" s="54"/>
      <c r="H1118" s="54"/>
      <c r="I1118" s="54"/>
      <c r="J1118" s="31"/>
      <c r="K1118" s="31"/>
      <c r="L1118" s="28"/>
    </row>
    <row r="1119" spans="1:12" x14ac:dyDescent="0.2">
      <c r="A1119" s="52">
        <v>46107</v>
      </c>
      <c r="B1119" s="52"/>
      <c r="C1119" s="63">
        <v>95141024996</v>
      </c>
      <c r="D1119" s="54"/>
      <c r="E1119" s="54"/>
      <c r="F1119" s="54"/>
      <c r="G1119" s="54"/>
      <c r="H1119" s="54"/>
      <c r="I1119" s="54"/>
      <c r="J1119" s="31"/>
      <c r="K1119" s="31"/>
      <c r="L1119" s="28"/>
    </row>
    <row r="1120" spans="1:12" x14ac:dyDescent="0.2">
      <c r="A1120" s="52">
        <v>46107</v>
      </c>
      <c r="B1120" s="52"/>
      <c r="C1120" s="64" t="s">
        <v>379</v>
      </c>
      <c r="D1120" s="54"/>
      <c r="E1120" s="54"/>
      <c r="F1120" s="54"/>
      <c r="G1120" s="54"/>
      <c r="H1120" s="54"/>
      <c r="I1120" s="54"/>
      <c r="J1120" s="31">
        <v>1</v>
      </c>
      <c r="K1120" s="31"/>
      <c r="L1120" s="28"/>
    </row>
    <row r="1121" spans="1:12" x14ac:dyDescent="0.2">
      <c r="A1121" s="52">
        <v>46107</v>
      </c>
      <c r="B1121" s="52"/>
      <c r="C1121" s="64" t="s">
        <v>380</v>
      </c>
      <c r="D1121" s="54"/>
      <c r="E1121" s="54"/>
      <c r="F1121" s="54"/>
      <c r="G1121" s="54"/>
      <c r="H1121" s="54"/>
      <c r="I1121" s="54"/>
      <c r="J1121" s="31">
        <v>1</v>
      </c>
      <c r="K1121" s="31"/>
      <c r="L1121" s="28"/>
    </row>
    <row r="1122" spans="1:12" x14ac:dyDescent="0.2">
      <c r="A1122" s="52">
        <v>46107</v>
      </c>
      <c r="B1122" s="52"/>
      <c r="C1122" s="63">
        <v>95141025033</v>
      </c>
      <c r="D1122" s="54"/>
      <c r="E1122" s="54"/>
      <c r="F1122" s="54"/>
      <c r="G1122" s="54"/>
      <c r="H1122" s="54"/>
      <c r="I1122" s="54"/>
      <c r="J1122" s="31"/>
      <c r="K1122" s="31"/>
      <c r="L1122" s="28"/>
    </row>
    <row r="1123" spans="1:12" x14ac:dyDescent="0.2">
      <c r="A1123" s="52">
        <v>46107</v>
      </c>
      <c r="B1123" s="52"/>
      <c r="C1123" s="63">
        <v>95141025035</v>
      </c>
      <c r="D1123" s="54"/>
      <c r="E1123" s="54"/>
      <c r="F1123" s="54"/>
      <c r="G1123" s="54"/>
      <c r="H1123" s="54"/>
      <c r="I1123" s="54"/>
      <c r="J1123" s="31"/>
      <c r="K1123" s="31"/>
      <c r="L1123" s="28"/>
    </row>
    <row r="1124" spans="1:12" x14ac:dyDescent="0.2">
      <c r="A1124" s="52">
        <v>46107</v>
      </c>
      <c r="B1124" s="52"/>
      <c r="C1124" s="64" t="s">
        <v>384</v>
      </c>
      <c r="D1124" s="54"/>
      <c r="E1124" s="54"/>
      <c r="F1124" s="54"/>
      <c r="G1124" s="54"/>
      <c r="H1124" s="54"/>
      <c r="I1124" s="54"/>
      <c r="J1124" s="31">
        <v>1</v>
      </c>
      <c r="K1124" s="31"/>
      <c r="L1124" s="28"/>
    </row>
    <row r="1125" spans="1:12" x14ac:dyDescent="0.2">
      <c r="A1125" s="52">
        <v>46107</v>
      </c>
      <c r="B1125" s="52"/>
      <c r="C1125" s="64">
        <v>95141025056</v>
      </c>
      <c r="D1125" s="54"/>
      <c r="E1125" s="54"/>
      <c r="F1125" s="54"/>
      <c r="G1125" s="54"/>
      <c r="H1125" s="54"/>
      <c r="I1125" s="54"/>
      <c r="J1125" s="31">
        <v>1</v>
      </c>
      <c r="K1125" s="31"/>
      <c r="L1125" s="28"/>
    </row>
    <row r="1126" spans="1:12" x14ac:dyDescent="0.2">
      <c r="A1126" s="52">
        <v>46107</v>
      </c>
      <c r="B1126" s="52"/>
      <c r="C1126" s="63">
        <v>95141025085</v>
      </c>
      <c r="D1126" s="54"/>
      <c r="E1126" s="54"/>
      <c r="F1126" s="54"/>
      <c r="G1126" s="54"/>
      <c r="H1126" s="54"/>
      <c r="I1126" s="54"/>
      <c r="J1126" s="31"/>
      <c r="K1126" s="31"/>
      <c r="L1126" s="28"/>
    </row>
    <row r="1127" spans="1:12" x14ac:dyDescent="0.2">
      <c r="A1127" s="52"/>
      <c r="B1127" s="52"/>
      <c r="C1127" s="63"/>
      <c r="D1127" s="54"/>
      <c r="E1127" s="54"/>
      <c r="F1127" s="54"/>
      <c r="G1127" s="54"/>
      <c r="H1127" s="54"/>
      <c r="I1127" s="54"/>
      <c r="J1127" s="31"/>
      <c r="K1127" s="31"/>
      <c r="L1127" s="28"/>
    </row>
    <row r="1128" spans="1:12" x14ac:dyDescent="0.2">
      <c r="A1128" s="55" t="s">
        <v>16</v>
      </c>
      <c r="B1128" s="56"/>
      <c r="C1128" s="56"/>
      <c r="D1128" s="56"/>
      <c r="E1128" s="56"/>
      <c r="F1128" s="56"/>
      <c r="G1128" s="56"/>
      <c r="H1128" s="56"/>
      <c r="I1128" s="57"/>
      <c r="J1128" s="36">
        <f>SUM(J1107:J1127)</f>
        <v>11</v>
      </c>
      <c r="K1128" s="36">
        <f>SUM(K1107:K1127)</f>
        <v>0</v>
      </c>
      <c r="L1128" s="36">
        <f>SUM(L1107:L1127)</f>
        <v>0</v>
      </c>
    </row>
    <row r="1129" spans="1:12" x14ac:dyDescent="0.2">
      <c r="A1129" s="27">
        <v>175</v>
      </c>
      <c r="B1129" s="28"/>
      <c r="C1129" s="50" t="s">
        <v>422</v>
      </c>
      <c r="D1129" s="51" t="s">
        <v>423</v>
      </c>
      <c r="E1129" s="30" t="s">
        <v>419</v>
      </c>
      <c r="F1129" s="31"/>
      <c r="G1129" s="31"/>
      <c r="H1129" s="31" t="s">
        <v>14</v>
      </c>
      <c r="I1129" s="31">
        <v>1</v>
      </c>
      <c r="J1129" s="32">
        <f t="shared" ref="J1129:K1129" si="319">+J1134</f>
        <v>0</v>
      </c>
      <c r="K1129" s="33">
        <f t="shared" si="319"/>
        <v>0</v>
      </c>
      <c r="L1129" s="37">
        <f>+I1129+J1129-K1129</f>
        <v>1</v>
      </c>
    </row>
    <row r="1130" spans="1:12" x14ac:dyDescent="0.2">
      <c r="A1130" s="58" t="s">
        <v>15</v>
      </c>
      <c r="B1130" s="58"/>
      <c r="C1130" s="59" t="s">
        <v>3</v>
      </c>
      <c r="D1130" s="59"/>
      <c r="E1130" s="59"/>
      <c r="F1130" s="59"/>
      <c r="G1130" s="59"/>
      <c r="H1130" s="59"/>
      <c r="I1130" s="59"/>
      <c r="J1130" s="35" t="s">
        <v>8</v>
      </c>
      <c r="K1130" s="35" t="s">
        <v>9</v>
      </c>
      <c r="L1130" s="35" t="s">
        <v>10</v>
      </c>
    </row>
    <row r="1131" spans="1:12" x14ac:dyDescent="0.2">
      <c r="A1131" s="52"/>
      <c r="B1131" s="52"/>
      <c r="C1131" s="54"/>
      <c r="D1131" s="54"/>
      <c r="E1131" s="54"/>
      <c r="F1131" s="54"/>
      <c r="G1131" s="54"/>
      <c r="H1131" s="54"/>
      <c r="I1131" s="54"/>
      <c r="J1131" s="31"/>
      <c r="K1131" s="31"/>
      <c r="L1131" s="28"/>
    </row>
    <row r="1132" spans="1:12" x14ac:dyDescent="0.2">
      <c r="A1132" s="52"/>
      <c r="B1132" s="52"/>
      <c r="C1132" s="54"/>
      <c r="D1132" s="54"/>
      <c r="E1132" s="54"/>
      <c r="F1132" s="54"/>
      <c r="G1132" s="54"/>
      <c r="H1132" s="54"/>
      <c r="I1132" s="54"/>
      <c r="J1132" s="31"/>
      <c r="K1132" s="31"/>
      <c r="L1132" s="28"/>
    </row>
    <row r="1133" spans="1:12" x14ac:dyDescent="0.2">
      <c r="A1133" s="52"/>
      <c r="B1133" s="52"/>
      <c r="C1133" s="54"/>
      <c r="D1133" s="54"/>
      <c r="E1133" s="54"/>
      <c r="F1133" s="54"/>
      <c r="G1133" s="54"/>
      <c r="H1133" s="54"/>
      <c r="I1133" s="54"/>
      <c r="J1133" s="31"/>
      <c r="K1133" s="31"/>
      <c r="L1133" s="28"/>
    </row>
    <row r="1134" spans="1:12" x14ac:dyDescent="0.2">
      <c r="A1134" s="55" t="s">
        <v>16</v>
      </c>
      <c r="B1134" s="56"/>
      <c r="C1134" s="56"/>
      <c r="D1134" s="56"/>
      <c r="E1134" s="56"/>
      <c r="F1134" s="56"/>
      <c r="G1134" s="56"/>
      <c r="H1134" s="56"/>
      <c r="I1134" s="57"/>
      <c r="J1134" s="36">
        <f t="shared" ref="J1134:L1134" si="320">SUM(J1131:J1133)</f>
        <v>0</v>
      </c>
      <c r="K1134" s="36">
        <f t="shared" si="320"/>
        <v>0</v>
      </c>
      <c r="L1134" s="36">
        <f t="shared" si="320"/>
        <v>0</v>
      </c>
    </row>
    <row r="1135" spans="1:12" x14ac:dyDescent="0.2">
      <c r="A1135" s="27">
        <v>176</v>
      </c>
      <c r="B1135" s="28"/>
      <c r="C1135" s="50" t="s">
        <v>422</v>
      </c>
      <c r="D1135" s="51" t="s">
        <v>424</v>
      </c>
      <c r="E1135" s="30" t="s">
        <v>419</v>
      </c>
      <c r="F1135" s="31"/>
      <c r="G1135" s="31"/>
      <c r="H1135" s="31" t="s">
        <v>14</v>
      </c>
      <c r="I1135" s="31">
        <v>1</v>
      </c>
      <c r="J1135" s="32">
        <f t="shared" ref="J1135:K1135" si="321">+J1140</f>
        <v>0</v>
      </c>
      <c r="K1135" s="33">
        <f t="shared" si="321"/>
        <v>0</v>
      </c>
      <c r="L1135" s="37">
        <f>+I1135+J1135-K1135</f>
        <v>1</v>
      </c>
    </row>
    <row r="1136" spans="1:12" x14ac:dyDescent="0.2">
      <c r="A1136" s="58" t="s">
        <v>15</v>
      </c>
      <c r="B1136" s="58"/>
      <c r="C1136" s="59" t="s">
        <v>3</v>
      </c>
      <c r="D1136" s="59"/>
      <c r="E1136" s="59"/>
      <c r="F1136" s="59"/>
      <c r="G1136" s="59"/>
      <c r="H1136" s="59"/>
      <c r="I1136" s="59"/>
      <c r="J1136" s="35" t="s">
        <v>8</v>
      </c>
      <c r="K1136" s="35" t="s">
        <v>9</v>
      </c>
      <c r="L1136" s="35" t="s">
        <v>10</v>
      </c>
    </row>
    <row r="1137" spans="1:12" x14ac:dyDescent="0.2">
      <c r="A1137" s="52"/>
      <c r="B1137" s="52"/>
      <c r="C1137" s="54"/>
      <c r="D1137" s="54"/>
      <c r="E1137" s="54"/>
      <c r="F1137" s="54"/>
      <c r="G1137" s="54"/>
      <c r="H1137" s="54"/>
      <c r="I1137" s="54"/>
      <c r="J1137" s="31"/>
      <c r="K1137" s="31"/>
      <c r="L1137" s="28"/>
    </row>
    <row r="1138" spans="1:12" x14ac:dyDescent="0.2">
      <c r="A1138" s="52"/>
      <c r="B1138" s="52"/>
      <c r="C1138" s="54"/>
      <c r="D1138" s="54"/>
      <c r="E1138" s="54"/>
      <c r="F1138" s="54"/>
      <c r="G1138" s="54"/>
      <c r="H1138" s="54"/>
      <c r="I1138" s="54"/>
      <c r="J1138" s="31"/>
      <c r="K1138" s="31"/>
      <c r="L1138" s="28"/>
    </row>
    <row r="1139" spans="1:12" x14ac:dyDescent="0.2">
      <c r="A1139" s="52"/>
      <c r="B1139" s="52"/>
      <c r="C1139" s="54"/>
      <c r="D1139" s="54"/>
      <c r="E1139" s="54"/>
      <c r="F1139" s="54"/>
      <c r="G1139" s="54"/>
      <c r="H1139" s="54"/>
      <c r="I1139" s="54"/>
      <c r="J1139" s="31"/>
      <c r="K1139" s="31"/>
      <c r="L1139" s="28"/>
    </row>
    <row r="1140" spans="1:12" x14ac:dyDescent="0.2">
      <c r="A1140" s="55" t="s">
        <v>16</v>
      </c>
      <c r="B1140" s="56"/>
      <c r="C1140" s="56"/>
      <c r="D1140" s="56"/>
      <c r="E1140" s="56"/>
      <c r="F1140" s="56"/>
      <c r="G1140" s="56"/>
      <c r="H1140" s="56"/>
      <c r="I1140" s="57"/>
      <c r="J1140" s="36">
        <f t="shared" ref="J1140:L1140" si="322">SUM(J1137:J1139)</f>
        <v>0</v>
      </c>
      <c r="K1140" s="36">
        <f t="shared" si="322"/>
        <v>0</v>
      </c>
      <c r="L1140" s="36">
        <f t="shared" si="322"/>
        <v>0</v>
      </c>
    </row>
    <row r="1141" spans="1:12" x14ac:dyDescent="0.2">
      <c r="A1141" s="27">
        <v>177</v>
      </c>
      <c r="B1141" s="28"/>
      <c r="C1141" s="50" t="s">
        <v>422</v>
      </c>
      <c r="D1141" s="51" t="s">
        <v>425</v>
      </c>
      <c r="E1141" s="30" t="s">
        <v>419</v>
      </c>
      <c r="F1141" s="31"/>
      <c r="G1141" s="31"/>
      <c r="H1141" s="31" t="s">
        <v>14</v>
      </c>
      <c r="I1141" s="31">
        <v>1</v>
      </c>
      <c r="J1141" s="32">
        <f t="shared" ref="J1141:K1141" si="323">+J1146</f>
        <v>0</v>
      </c>
      <c r="K1141" s="33">
        <f t="shared" si="323"/>
        <v>0</v>
      </c>
      <c r="L1141" s="37">
        <f>+I1141+J1141-K1141</f>
        <v>1</v>
      </c>
    </row>
    <row r="1142" spans="1:12" x14ac:dyDescent="0.2">
      <c r="A1142" s="58" t="s">
        <v>15</v>
      </c>
      <c r="B1142" s="58"/>
      <c r="C1142" s="59" t="s">
        <v>3</v>
      </c>
      <c r="D1142" s="59"/>
      <c r="E1142" s="59"/>
      <c r="F1142" s="59"/>
      <c r="G1142" s="59"/>
      <c r="H1142" s="59"/>
      <c r="I1142" s="59"/>
      <c r="J1142" s="35" t="s">
        <v>8</v>
      </c>
      <c r="K1142" s="35" t="s">
        <v>9</v>
      </c>
      <c r="L1142" s="35" t="s">
        <v>10</v>
      </c>
    </row>
    <row r="1143" spans="1:12" x14ac:dyDescent="0.2">
      <c r="A1143" s="52"/>
      <c r="B1143" s="52"/>
      <c r="C1143" s="54"/>
      <c r="D1143" s="54"/>
      <c r="E1143" s="54"/>
      <c r="F1143" s="54"/>
      <c r="G1143" s="54"/>
      <c r="H1143" s="54"/>
      <c r="I1143" s="54"/>
      <c r="J1143" s="31"/>
      <c r="K1143" s="31"/>
      <c r="L1143" s="28"/>
    </row>
    <row r="1144" spans="1:12" x14ac:dyDescent="0.2">
      <c r="A1144" s="52"/>
      <c r="B1144" s="52"/>
      <c r="C1144" s="54"/>
      <c r="D1144" s="54"/>
      <c r="E1144" s="54"/>
      <c r="F1144" s="54"/>
      <c r="G1144" s="54"/>
      <c r="H1144" s="54"/>
      <c r="I1144" s="54"/>
      <c r="J1144" s="31"/>
      <c r="K1144" s="31"/>
      <c r="L1144" s="28"/>
    </row>
    <row r="1145" spans="1:12" x14ac:dyDescent="0.2">
      <c r="A1145" s="52"/>
      <c r="B1145" s="52"/>
      <c r="C1145" s="54"/>
      <c r="D1145" s="54"/>
      <c r="E1145" s="54"/>
      <c r="F1145" s="54"/>
      <c r="G1145" s="54"/>
      <c r="H1145" s="54"/>
      <c r="I1145" s="54"/>
      <c r="J1145" s="31"/>
      <c r="K1145" s="31"/>
      <c r="L1145" s="28"/>
    </row>
    <row r="1146" spans="1:12" x14ac:dyDescent="0.2">
      <c r="A1146" s="55" t="s">
        <v>16</v>
      </c>
      <c r="B1146" s="56"/>
      <c r="C1146" s="56"/>
      <c r="D1146" s="56"/>
      <c r="E1146" s="56"/>
      <c r="F1146" s="56"/>
      <c r="G1146" s="56"/>
      <c r="H1146" s="56"/>
      <c r="I1146" s="57"/>
      <c r="J1146" s="36">
        <f t="shared" ref="J1146:L1146" si="324">SUM(J1143:J1145)</f>
        <v>0</v>
      </c>
      <c r="K1146" s="36">
        <f t="shared" si="324"/>
        <v>0</v>
      </c>
      <c r="L1146" s="36">
        <f t="shared" si="324"/>
        <v>0</v>
      </c>
    </row>
    <row r="1147" spans="1:12" x14ac:dyDescent="0.2">
      <c r="A1147" s="27">
        <v>178</v>
      </c>
      <c r="B1147" s="28"/>
      <c r="C1147" s="50" t="s">
        <v>422</v>
      </c>
      <c r="D1147" s="51" t="s">
        <v>426</v>
      </c>
      <c r="E1147" s="30" t="s">
        <v>419</v>
      </c>
      <c r="F1147" s="31"/>
      <c r="G1147" s="31"/>
      <c r="H1147" s="31" t="s">
        <v>14</v>
      </c>
      <c r="I1147" s="31">
        <v>3</v>
      </c>
      <c r="J1147" s="32">
        <f t="shared" ref="J1147:K1147" si="325">+J1152</f>
        <v>0</v>
      </c>
      <c r="K1147" s="33">
        <f t="shared" si="325"/>
        <v>0</v>
      </c>
      <c r="L1147" s="37">
        <f>+I1147+J1147-K1147</f>
        <v>3</v>
      </c>
    </row>
    <row r="1148" spans="1:12" x14ac:dyDescent="0.2">
      <c r="A1148" s="58" t="s">
        <v>15</v>
      </c>
      <c r="B1148" s="58"/>
      <c r="C1148" s="59" t="s">
        <v>3</v>
      </c>
      <c r="D1148" s="59"/>
      <c r="E1148" s="59"/>
      <c r="F1148" s="59"/>
      <c r="G1148" s="59"/>
      <c r="H1148" s="59"/>
      <c r="I1148" s="59"/>
      <c r="J1148" s="35" t="s">
        <v>8</v>
      </c>
      <c r="K1148" s="35" t="s">
        <v>9</v>
      </c>
      <c r="L1148" s="35" t="s">
        <v>10</v>
      </c>
    </row>
    <row r="1149" spans="1:12" x14ac:dyDescent="0.2">
      <c r="A1149" s="52"/>
      <c r="B1149" s="52"/>
      <c r="C1149" s="54"/>
      <c r="D1149" s="54"/>
      <c r="E1149" s="54"/>
      <c r="F1149" s="54"/>
      <c r="G1149" s="54"/>
      <c r="H1149" s="54"/>
      <c r="I1149" s="54"/>
      <c r="J1149" s="31"/>
      <c r="K1149" s="31"/>
      <c r="L1149" s="28"/>
    </row>
    <row r="1150" spans="1:12" x14ac:dyDescent="0.2">
      <c r="A1150" s="52"/>
      <c r="B1150" s="52"/>
      <c r="C1150" s="54"/>
      <c r="D1150" s="54"/>
      <c r="E1150" s="54"/>
      <c r="F1150" s="54"/>
      <c r="G1150" s="54"/>
      <c r="H1150" s="54"/>
      <c r="I1150" s="54"/>
      <c r="J1150" s="31"/>
      <c r="K1150" s="31"/>
      <c r="L1150" s="28"/>
    </row>
    <row r="1151" spans="1:12" x14ac:dyDescent="0.2">
      <c r="A1151" s="52"/>
      <c r="B1151" s="52"/>
      <c r="C1151" s="54"/>
      <c r="D1151" s="54"/>
      <c r="E1151" s="54"/>
      <c r="F1151" s="54"/>
      <c r="G1151" s="54"/>
      <c r="H1151" s="54"/>
      <c r="I1151" s="54"/>
      <c r="J1151" s="31"/>
      <c r="K1151" s="31"/>
      <c r="L1151" s="28"/>
    </row>
    <row r="1152" spans="1:12" x14ac:dyDescent="0.2">
      <c r="A1152" s="55" t="s">
        <v>16</v>
      </c>
      <c r="B1152" s="56"/>
      <c r="C1152" s="56"/>
      <c r="D1152" s="56"/>
      <c r="E1152" s="56"/>
      <c r="F1152" s="56"/>
      <c r="G1152" s="56"/>
      <c r="H1152" s="56"/>
      <c r="I1152" s="57"/>
      <c r="J1152" s="36">
        <f t="shared" ref="J1152:L1152" si="326">SUM(J1149:J1151)</f>
        <v>0</v>
      </c>
      <c r="K1152" s="36">
        <f t="shared" si="326"/>
        <v>0</v>
      </c>
      <c r="L1152" s="36">
        <f t="shared" si="326"/>
        <v>0</v>
      </c>
    </row>
    <row r="1153" spans="1:12" x14ac:dyDescent="0.2">
      <c r="A1153" s="27">
        <v>179</v>
      </c>
      <c r="B1153" s="28"/>
      <c r="C1153" s="50" t="s">
        <v>422</v>
      </c>
      <c r="D1153" s="51" t="s">
        <v>427</v>
      </c>
      <c r="E1153" s="30" t="s">
        <v>419</v>
      </c>
      <c r="F1153" s="31"/>
      <c r="G1153" s="31"/>
      <c r="H1153" s="31" t="s">
        <v>14</v>
      </c>
      <c r="I1153" s="31">
        <v>1</v>
      </c>
      <c r="J1153" s="32">
        <f t="shared" ref="J1153:K1153" si="327">+J1158</f>
        <v>0</v>
      </c>
      <c r="K1153" s="33">
        <f t="shared" si="327"/>
        <v>0</v>
      </c>
      <c r="L1153" s="37">
        <f>+I1153+J1153-K1153</f>
        <v>1</v>
      </c>
    </row>
    <row r="1154" spans="1:12" x14ac:dyDescent="0.2">
      <c r="A1154" s="58" t="s">
        <v>15</v>
      </c>
      <c r="B1154" s="58"/>
      <c r="C1154" s="59" t="s">
        <v>3</v>
      </c>
      <c r="D1154" s="59"/>
      <c r="E1154" s="59"/>
      <c r="F1154" s="59"/>
      <c r="G1154" s="59"/>
      <c r="H1154" s="59"/>
      <c r="I1154" s="59"/>
      <c r="J1154" s="35" t="s">
        <v>8</v>
      </c>
      <c r="K1154" s="35" t="s">
        <v>9</v>
      </c>
      <c r="L1154" s="35" t="s">
        <v>10</v>
      </c>
    </row>
    <row r="1155" spans="1:12" x14ac:dyDescent="0.2">
      <c r="A1155" s="52"/>
      <c r="B1155" s="52"/>
      <c r="C1155" s="54"/>
      <c r="D1155" s="54"/>
      <c r="E1155" s="54"/>
      <c r="F1155" s="54"/>
      <c r="G1155" s="54"/>
      <c r="H1155" s="54"/>
      <c r="I1155" s="54"/>
      <c r="J1155" s="31"/>
      <c r="K1155" s="31"/>
      <c r="L1155" s="28"/>
    </row>
    <row r="1156" spans="1:12" x14ac:dyDescent="0.2">
      <c r="A1156" s="52"/>
      <c r="B1156" s="52"/>
      <c r="C1156" s="54"/>
      <c r="D1156" s="54"/>
      <c r="E1156" s="54"/>
      <c r="F1156" s="54"/>
      <c r="G1156" s="54"/>
      <c r="H1156" s="54"/>
      <c r="I1156" s="54"/>
      <c r="J1156" s="31"/>
      <c r="K1156" s="31"/>
      <c r="L1156" s="28"/>
    </row>
    <row r="1157" spans="1:12" x14ac:dyDescent="0.2">
      <c r="A1157" s="52"/>
      <c r="B1157" s="52"/>
      <c r="C1157" s="54"/>
      <c r="D1157" s="54"/>
      <c r="E1157" s="54"/>
      <c r="F1157" s="54"/>
      <c r="G1157" s="54"/>
      <c r="H1157" s="54"/>
      <c r="I1157" s="54"/>
      <c r="J1157" s="31"/>
      <c r="K1157" s="31"/>
      <c r="L1157" s="28"/>
    </row>
    <row r="1158" spans="1:12" x14ac:dyDescent="0.2">
      <c r="A1158" s="55" t="s">
        <v>16</v>
      </c>
      <c r="B1158" s="56"/>
      <c r="C1158" s="56"/>
      <c r="D1158" s="56"/>
      <c r="E1158" s="56"/>
      <c r="F1158" s="56"/>
      <c r="G1158" s="56"/>
      <c r="H1158" s="56"/>
      <c r="I1158" s="57"/>
      <c r="J1158" s="36">
        <f t="shared" ref="J1158:L1158" si="328">SUM(J1155:J1157)</f>
        <v>0</v>
      </c>
      <c r="K1158" s="36">
        <f t="shared" si="328"/>
        <v>0</v>
      </c>
      <c r="L1158" s="36">
        <f t="shared" si="328"/>
        <v>0</v>
      </c>
    </row>
    <row r="1159" spans="1:12" x14ac:dyDescent="0.2">
      <c r="A1159" s="27">
        <v>180</v>
      </c>
      <c r="B1159" s="28"/>
      <c r="C1159" s="50" t="s">
        <v>422</v>
      </c>
      <c r="D1159" s="51" t="s">
        <v>428</v>
      </c>
      <c r="E1159" s="30" t="s">
        <v>419</v>
      </c>
      <c r="F1159" s="31"/>
      <c r="G1159" s="31"/>
      <c r="H1159" s="31" t="s">
        <v>14</v>
      </c>
      <c r="I1159" s="31">
        <v>33</v>
      </c>
      <c r="J1159" s="32">
        <f t="shared" ref="J1159:K1159" si="329">+J1164</f>
        <v>0</v>
      </c>
      <c r="K1159" s="33">
        <f t="shared" si="329"/>
        <v>0</v>
      </c>
      <c r="L1159" s="37">
        <f>+I1159+J1159-K1159</f>
        <v>33</v>
      </c>
    </row>
    <row r="1160" spans="1:12" x14ac:dyDescent="0.2">
      <c r="A1160" s="58" t="s">
        <v>15</v>
      </c>
      <c r="B1160" s="58"/>
      <c r="C1160" s="59" t="s">
        <v>3</v>
      </c>
      <c r="D1160" s="59"/>
      <c r="E1160" s="59"/>
      <c r="F1160" s="59"/>
      <c r="G1160" s="59"/>
      <c r="H1160" s="59"/>
      <c r="I1160" s="59"/>
      <c r="J1160" s="35" t="s">
        <v>8</v>
      </c>
      <c r="K1160" s="35" t="s">
        <v>9</v>
      </c>
      <c r="L1160" s="35" t="s">
        <v>10</v>
      </c>
    </row>
    <row r="1161" spans="1:12" x14ac:dyDescent="0.2">
      <c r="A1161" s="52"/>
      <c r="B1161" s="52"/>
      <c r="C1161" s="54"/>
      <c r="D1161" s="54"/>
      <c r="E1161" s="54"/>
      <c r="F1161" s="54"/>
      <c r="G1161" s="54"/>
      <c r="H1161" s="54"/>
      <c r="I1161" s="54"/>
      <c r="J1161" s="31"/>
      <c r="K1161" s="31"/>
      <c r="L1161" s="28"/>
    </row>
    <row r="1162" spans="1:12" x14ac:dyDescent="0.2">
      <c r="A1162" s="52"/>
      <c r="B1162" s="52"/>
      <c r="C1162" s="54"/>
      <c r="D1162" s="54"/>
      <c r="E1162" s="54"/>
      <c r="F1162" s="54"/>
      <c r="G1162" s="54"/>
      <c r="H1162" s="54"/>
      <c r="I1162" s="54"/>
      <c r="J1162" s="31"/>
      <c r="K1162" s="31"/>
      <c r="L1162" s="28"/>
    </row>
    <row r="1163" spans="1:12" x14ac:dyDescent="0.2">
      <c r="A1163" s="52"/>
      <c r="B1163" s="52"/>
      <c r="C1163" s="54"/>
      <c r="D1163" s="54"/>
      <c r="E1163" s="54"/>
      <c r="F1163" s="54"/>
      <c r="G1163" s="54"/>
      <c r="H1163" s="54"/>
      <c r="I1163" s="54"/>
      <c r="J1163" s="31"/>
      <c r="K1163" s="31"/>
      <c r="L1163" s="28"/>
    </row>
    <row r="1164" spans="1:12" x14ac:dyDescent="0.2">
      <c r="A1164" s="55" t="s">
        <v>16</v>
      </c>
      <c r="B1164" s="56"/>
      <c r="C1164" s="56"/>
      <c r="D1164" s="56"/>
      <c r="E1164" s="56"/>
      <c r="F1164" s="56"/>
      <c r="G1164" s="56"/>
      <c r="H1164" s="56"/>
      <c r="I1164" s="57"/>
      <c r="J1164" s="36">
        <f t="shared" ref="J1164:L1164" si="330">SUM(J1161:J1163)</f>
        <v>0</v>
      </c>
      <c r="K1164" s="36">
        <f t="shared" si="330"/>
        <v>0</v>
      </c>
      <c r="L1164" s="36">
        <f t="shared" si="330"/>
        <v>0</v>
      </c>
    </row>
    <row r="1165" spans="1:12" x14ac:dyDescent="0.2">
      <c r="A1165" s="27">
        <v>181</v>
      </c>
      <c r="B1165" s="28"/>
      <c r="C1165" s="50" t="s">
        <v>422</v>
      </c>
      <c r="D1165" s="51" t="s">
        <v>429</v>
      </c>
      <c r="E1165" s="30" t="s">
        <v>419</v>
      </c>
      <c r="F1165" s="31"/>
      <c r="G1165" s="31"/>
      <c r="H1165" s="31" t="s">
        <v>14</v>
      </c>
      <c r="I1165" s="31">
        <v>3</v>
      </c>
      <c r="J1165" s="32">
        <f t="shared" ref="J1165:K1165" si="331">+J1170</f>
        <v>0</v>
      </c>
      <c r="K1165" s="33">
        <f t="shared" si="331"/>
        <v>0</v>
      </c>
      <c r="L1165" s="37">
        <f>+I1165+J1165-K1165</f>
        <v>3</v>
      </c>
    </row>
    <row r="1166" spans="1:12" x14ac:dyDescent="0.2">
      <c r="A1166" s="58" t="s">
        <v>15</v>
      </c>
      <c r="B1166" s="58"/>
      <c r="C1166" s="59" t="s">
        <v>3</v>
      </c>
      <c r="D1166" s="59"/>
      <c r="E1166" s="59"/>
      <c r="F1166" s="59"/>
      <c r="G1166" s="59"/>
      <c r="H1166" s="59"/>
      <c r="I1166" s="59"/>
      <c r="J1166" s="35" t="s">
        <v>8</v>
      </c>
      <c r="K1166" s="35" t="s">
        <v>9</v>
      </c>
      <c r="L1166" s="35" t="s">
        <v>10</v>
      </c>
    </row>
    <row r="1167" spans="1:12" x14ac:dyDescent="0.2">
      <c r="A1167" s="52"/>
      <c r="B1167" s="52"/>
      <c r="C1167" s="54"/>
      <c r="D1167" s="54"/>
      <c r="E1167" s="54"/>
      <c r="F1167" s="54"/>
      <c r="G1167" s="54"/>
      <c r="H1167" s="54"/>
      <c r="I1167" s="54"/>
      <c r="J1167" s="31"/>
      <c r="K1167" s="31"/>
      <c r="L1167" s="28"/>
    </row>
    <row r="1168" spans="1:12" x14ac:dyDescent="0.2">
      <c r="A1168" s="52"/>
      <c r="B1168" s="52"/>
      <c r="C1168" s="54"/>
      <c r="D1168" s="54"/>
      <c r="E1168" s="54"/>
      <c r="F1168" s="54"/>
      <c r="G1168" s="54"/>
      <c r="H1168" s="54"/>
      <c r="I1168" s="54"/>
      <c r="J1168" s="31"/>
      <c r="K1168" s="31"/>
      <c r="L1168" s="28"/>
    </row>
    <row r="1169" spans="1:12" x14ac:dyDescent="0.2">
      <c r="A1169" s="52"/>
      <c r="B1169" s="52"/>
      <c r="C1169" s="54"/>
      <c r="D1169" s="54"/>
      <c r="E1169" s="54"/>
      <c r="F1169" s="54"/>
      <c r="G1169" s="54"/>
      <c r="H1169" s="54"/>
      <c r="I1169" s="54"/>
      <c r="J1169" s="31"/>
      <c r="K1169" s="31"/>
      <c r="L1169" s="28"/>
    </row>
    <row r="1170" spans="1:12" x14ac:dyDescent="0.2">
      <c r="A1170" s="55" t="s">
        <v>16</v>
      </c>
      <c r="B1170" s="56"/>
      <c r="C1170" s="56"/>
      <c r="D1170" s="56"/>
      <c r="E1170" s="56"/>
      <c r="F1170" s="56"/>
      <c r="G1170" s="56"/>
      <c r="H1170" s="56"/>
      <c r="I1170" s="57"/>
      <c r="J1170" s="36">
        <f t="shared" ref="J1170:L1170" si="332">SUM(J1167:J1169)</f>
        <v>0</v>
      </c>
      <c r="K1170" s="36">
        <f t="shared" si="332"/>
        <v>0</v>
      </c>
      <c r="L1170" s="36">
        <f t="shared" si="332"/>
        <v>0</v>
      </c>
    </row>
    <row r="1171" spans="1:12" x14ac:dyDescent="0.2">
      <c r="A1171" s="27">
        <v>182</v>
      </c>
      <c r="B1171" s="28"/>
      <c r="C1171" s="50" t="s">
        <v>422</v>
      </c>
      <c r="D1171" s="51" t="s">
        <v>430</v>
      </c>
      <c r="E1171" s="30" t="s">
        <v>419</v>
      </c>
      <c r="F1171" s="31"/>
      <c r="G1171" s="31"/>
      <c r="H1171" s="31" t="s">
        <v>14</v>
      </c>
      <c r="I1171" s="31">
        <v>4</v>
      </c>
      <c r="J1171" s="32">
        <f t="shared" ref="J1171:K1171" si="333">+J1176</f>
        <v>0</v>
      </c>
      <c r="K1171" s="33">
        <f t="shared" si="333"/>
        <v>0</v>
      </c>
      <c r="L1171" s="37">
        <f>+I1171+J1171-K1171</f>
        <v>4</v>
      </c>
    </row>
    <row r="1172" spans="1:12" x14ac:dyDescent="0.2">
      <c r="A1172" s="58" t="s">
        <v>15</v>
      </c>
      <c r="B1172" s="58"/>
      <c r="C1172" s="59" t="s">
        <v>3</v>
      </c>
      <c r="D1172" s="59"/>
      <c r="E1172" s="59"/>
      <c r="F1172" s="59"/>
      <c r="G1172" s="59"/>
      <c r="H1172" s="59"/>
      <c r="I1172" s="59"/>
      <c r="J1172" s="35" t="s">
        <v>8</v>
      </c>
      <c r="K1172" s="35" t="s">
        <v>9</v>
      </c>
      <c r="L1172" s="35" t="s">
        <v>10</v>
      </c>
    </row>
    <row r="1173" spans="1:12" x14ac:dyDescent="0.2">
      <c r="A1173" s="52"/>
      <c r="B1173" s="52"/>
      <c r="C1173" s="54"/>
      <c r="D1173" s="54"/>
      <c r="E1173" s="54"/>
      <c r="F1173" s="54"/>
      <c r="G1173" s="54"/>
      <c r="H1173" s="54"/>
      <c r="I1173" s="54"/>
      <c r="J1173" s="31"/>
      <c r="K1173" s="31"/>
      <c r="L1173" s="28"/>
    </row>
    <row r="1174" spans="1:12" x14ac:dyDescent="0.2">
      <c r="A1174" s="52"/>
      <c r="B1174" s="52"/>
      <c r="C1174" s="54"/>
      <c r="D1174" s="54"/>
      <c r="E1174" s="54"/>
      <c r="F1174" s="54"/>
      <c r="G1174" s="54"/>
      <c r="H1174" s="54"/>
      <c r="I1174" s="54"/>
      <c r="J1174" s="31"/>
      <c r="K1174" s="31"/>
      <c r="L1174" s="28"/>
    </row>
    <row r="1175" spans="1:12" x14ac:dyDescent="0.2">
      <c r="A1175" s="52"/>
      <c r="B1175" s="52"/>
      <c r="C1175" s="54"/>
      <c r="D1175" s="54"/>
      <c r="E1175" s="54"/>
      <c r="F1175" s="54"/>
      <c r="G1175" s="54"/>
      <c r="H1175" s="54"/>
      <c r="I1175" s="54"/>
      <c r="J1175" s="31"/>
      <c r="K1175" s="31"/>
      <c r="L1175" s="28"/>
    </row>
    <row r="1176" spans="1:12" x14ac:dyDescent="0.2">
      <c r="A1176" s="55" t="s">
        <v>16</v>
      </c>
      <c r="B1176" s="56"/>
      <c r="C1176" s="56"/>
      <c r="D1176" s="56"/>
      <c r="E1176" s="56"/>
      <c r="F1176" s="56"/>
      <c r="G1176" s="56"/>
      <c r="H1176" s="56"/>
      <c r="I1176" s="57"/>
      <c r="J1176" s="36">
        <f t="shared" ref="J1176:L1176" si="334">SUM(J1173:J1175)</f>
        <v>0</v>
      </c>
      <c r="K1176" s="36">
        <f t="shared" si="334"/>
        <v>0</v>
      </c>
      <c r="L1176" s="36">
        <f t="shared" si="334"/>
        <v>0</v>
      </c>
    </row>
    <row r="1177" spans="1:12" x14ac:dyDescent="0.2">
      <c r="A1177" s="27">
        <v>183</v>
      </c>
      <c r="B1177" s="28"/>
      <c r="C1177" s="50" t="s">
        <v>422</v>
      </c>
      <c r="D1177" s="51" t="s">
        <v>431</v>
      </c>
      <c r="E1177" s="30" t="s">
        <v>419</v>
      </c>
      <c r="F1177" s="31"/>
      <c r="G1177" s="31"/>
      <c r="H1177" s="31" t="s">
        <v>14</v>
      </c>
      <c r="I1177" s="31"/>
      <c r="J1177" s="32">
        <f t="shared" ref="J1177:K1177" si="335">+J1183</f>
        <v>8</v>
      </c>
      <c r="K1177" s="33">
        <f t="shared" si="335"/>
        <v>0</v>
      </c>
      <c r="L1177" s="37">
        <f>+I1177+J1177-K1177</f>
        <v>8</v>
      </c>
    </row>
    <row r="1178" spans="1:12" x14ac:dyDescent="0.2">
      <c r="A1178" s="58" t="s">
        <v>15</v>
      </c>
      <c r="B1178" s="58"/>
      <c r="C1178" s="59" t="s">
        <v>3</v>
      </c>
      <c r="D1178" s="59"/>
      <c r="E1178" s="59"/>
      <c r="F1178" s="59"/>
      <c r="G1178" s="59"/>
      <c r="H1178" s="59"/>
      <c r="I1178" s="59"/>
      <c r="J1178" s="35" t="s">
        <v>8</v>
      </c>
      <c r="K1178" s="35" t="s">
        <v>9</v>
      </c>
      <c r="L1178" s="35" t="s">
        <v>10</v>
      </c>
    </row>
    <row r="1179" spans="1:12" x14ac:dyDescent="0.2">
      <c r="A1179" s="52"/>
      <c r="B1179" s="52"/>
      <c r="C1179" s="53" t="s">
        <v>458</v>
      </c>
      <c r="D1179" s="54"/>
      <c r="E1179" s="54"/>
      <c r="F1179" s="54"/>
      <c r="G1179" s="54"/>
      <c r="H1179" s="54"/>
      <c r="I1179" s="54"/>
      <c r="J1179" s="31">
        <v>1</v>
      </c>
      <c r="K1179" s="31"/>
      <c r="L1179" s="28"/>
    </row>
    <row r="1180" spans="1:12" x14ac:dyDescent="0.2">
      <c r="A1180" s="52"/>
      <c r="B1180" s="52"/>
      <c r="C1180" s="53" t="s">
        <v>459</v>
      </c>
      <c r="D1180" s="54"/>
      <c r="E1180" s="54"/>
      <c r="F1180" s="54"/>
      <c r="G1180" s="54"/>
      <c r="H1180" s="54"/>
      <c r="I1180" s="54"/>
      <c r="J1180" s="31">
        <v>6</v>
      </c>
      <c r="K1180" s="31"/>
      <c r="L1180" s="28"/>
    </row>
    <row r="1181" spans="1:12" x14ac:dyDescent="0.2">
      <c r="A1181" s="52"/>
      <c r="B1181" s="52"/>
      <c r="C1181" s="53" t="s">
        <v>460</v>
      </c>
      <c r="D1181" s="54"/>
      <c r="E1181" s="54"/>
      <c r="F1181" s="54"/>
      <c r="G1181" s="54"/>
      <c r="H1181" s="54"/>
      <c r="I1181" s="54"/>
      <c r="J1181" s="31">
        <v>1</v>
      </c>
      <c r="K1181" s="31"/>
      <c r="L1181" s="28"/>
    </row>
    <row r="1182" spans="1:12" x14ac:dyDescent="0.2">
      <c r="A1182" s="52"/>
      <c r="B1182" s="52"/>
      <c r="C1182" s="54"/>
      <c r="D1182" s="54"/>
      <c r="E1182" s="54"/>
      <c r="F1182" s="54"/>
      <c r="G1182" s="54"/>
      <c r="H1182" s="54"/>
      <c r="I1182" s="54"/>
      <c r="J1182" s="31"/>
      <c r="K1182" s="31"/>
      <c r="L1182" s="28"/>
    </row>
    <row r="1183" spans="1:12" x14ac:dyDescent="0.2">
      <c r="A1183" s="55" t="s">
        <v>16</v>
      </c>
      <c r="B1183" s="56"/>
      <c r="C1183" s="56"/>
      <c r="D1183" s="56"/>
      <c r="E1183" s="56"/>
      <c r="F1183" s="56"/>
      <c r="G1183" s="56"/>
      <c r="H1183" s="56"/>
      <c r="I1183" s="57"/>
      <c r="J1183" s="36">
        <f>SUM(J1179:J1182)</f>
        <v>8</v>
      </c>
      <c r="K1183" s="36">
        <f>SUM(K1179:K1182)</f>
        <v>0</v>
      </c>
      <c r="L1183" s="36">
        <f>SUM(L1179:L1182)</f>
        <v>0</v>
      </c>
    </row>
    <row r="1184" spans="1:12" x14ac:dyDescent="0.2">
      <c r="A1184" s="27">
        <v>184</v>
      </c>
      <c r="B1184" s="28"/>
      <c r="C1184" s="50" t="s">
        <v>422</v>
      </c>
      <c r="D1184" s="51" t="s">
        <v>432</v>
      </c>
      <c r="E1184" s="30" t="s">
        <v>419</v>
      </c>
      <c r="F1184" s="31"/>
      <c r="G1184" s="31"/>
      <c r="H1184" s="31" t="s">
        <v>14</v>
      </c>
      <c r="I1184" s="31">
        <v>3</v>
      </c>
      <c r="J1184" s="32">
        <f t="shared" ref="J1184:K1184" si="336">+J1189</f>
        <v>0</v>
      </c>
      <c r="K1184" s="33">
        <f t="shared" si="336"/>
        <v>0</v>
      </c>
      <c r="L1184" s="37">
        <f>+I1184+J1184-K1184</f>
        <v>3</v>
      </c>
    </row>
    <row r="1185" spans="1:12" x14ac:dyDescent="0.2">
      <c r="A1185" s="58" t="s">
        <v>15</v>
      </c>
      <c r="B1185" s="58"/>
      <c r="C1185" s="59" t="s">
        <v>3</v>
      </c>
      <c r="D1185" s="59"/>
      <c r="E1185" s="59"/>
      <c r="F1185" s="59"/>
      <c r="G1185" s="59"/>
      <c r="H1185" s="59"/>
      <c r="I1185" s="59"/>
      <c r="J1185" s="35" t="s">
        <v>8</v>
      </c>
      <c r="K1185" s="35" t="s">
        <v>9</v>
      </c>
      <c r="L1185" s="35" t="s">
        <v>10</v>
      </c>
    </row>
    <row r="1186" spans="1:12" x14ac:dyDescent="0.2">
      <c r="A1186" s="52"/>
      <c r="B1186" s="52"/>
      <c r="C1186" s="54"/>
      <c r="D1186" s="54"/>
      <c r="E1186" s="54"/>
      <c r="F1186" s="54"/>
      <c r="G1186" s="54"/>
      <c r="H1186" s="54"/>
      <c r="I1186" s="54"/>
      <c r="J1186" s="31"/>
      <c r="K1186" s="31"/>
      <c r="L1186" s="28"/>
    </row>
    <row r="1187" spans="1:12" x14ac:dyDescent="0.2">
      <c r="A1187" s="52"/>
      <c r="B1187" s="52"/>
      <c r="C1187" s="54"/>
      <c r="D1187" s="54"/>
      <c r="E1187" s="54"/>
      <c r="F1187" s="54"/>
      <c r="G1187" s="54"/>
      <c r="H1187" s="54"/>
      <c r="I1187" s="54"/>
      <c r="J1187" s="31"/>
      <c r="K1187" s="31"/>
      <c r="L1187" s="28"/>
    </row>
    <row r="1188" spans="1:12" x14ac:dyDescent="0.2">
      <c r="A1188" s="52"/>
      <c r="B1188" s="52"/>
      <c r="C1188" s="54"/>
      <c r="D1188" s="54"/>
      <c r="E1188" s="54"/>
      <c r="F1188" s="54"/>
      <c r="G1188" s="54"/>
      <c r="H1188" s="54"/>
      <c r="I1188" s="54"/>
      <c r="J1188" s="31"/>
      <c r="K1188" s="31"/>
      <c r="L1188" s="28"/>
    </row>
    <row r="1189" spans="1:12" x14ac:dyDescent="0.2">
      <c r="A1189" s="55" t="s">
        <v>16</v>
      </c>
      <c r="B1189" s="56"/>
      <c r="C1189" s="56"/>
      <c r="D1189" s="56"/>
      <c r="E1189" s="56"/>
      <c r="F1189" s="56"/>
      <c r="G1189" s="56"/>
      <c r="H1189" s="56"/>
      <c r="I1189" s="57"/>
      <c r="J1189" s="36">
        <f t="shared" ref="J1189:L1189" si="337">SUM(J1186:J1188)</f>
        <v>0</v>
      </c>
      <c r="K1189" s="36">
        <f t="shared" si="337"/>
        <v>0</v>
      </c>
      <c r="L1189" s="36">
        <f t="shared" si="337"/>
        <v>0</v>
      </c>
    </row>
    <row r="1190" spans="1:12" x14ac:dyDescent="0.2">
      <c r="A1190" s="27">
        <v>185</v>
      </c>
      <c r="B1190" s="28"/>
      <c r="C1190" s="50" t="s">
        <v>422</v>
      </c>
      <c r="D1190" s="51" t="s">
        <v>433</v>
      </c>
      <c r="E1190" s="30" t="s">
        <v>419</v>
      </c>
      <c r="F1190" s="31"/>
      <c r="G1190" s="31"/>
      <c r="H1190" s="31" t="s">
        <v>14</v>
      </c>
      <c r="I1190" s="31"/>
      <c r="J1190" s="32">
        <f t="shared" ref="J1190:K1190" si="338">+J1195</f>
        <v>2</v>
      </c>
      <c r="K1190" s="33">
        <f t="shared" si="338"/>
        <v>0</v>
      </c>
      <c r="L1190" s="37">
        <f>+I1190+J1190-K1190</f>
        <v>2</v>
      </c>
    </row>
    <row r="1191" spans="1:12" x14ac:dyDescent="0.2">
      <c r="A1191" s="58" t="s">
        <v>15</v>
      </c>
      <c r="B1191" s="58"/>
      <c r="C1191" s="59" t="s">
        <v>3</v>
      </c>
      <c r="D1191" s="59"/>
      <c r="E1191" s="59"/>
      <c r="F1191" s="59"/>
      <c r="G1191" s="59"/>
      <c r="H1191" s="59"/>
      <c r="I1191" s="59"/>
      <c r="J1191" s="35" t="s">
        <v>8</v>
      </c>
      <c r="K1191" s="35" t="s">
        <v>9</v>
      </c>
      <c r="L1191" s="35" t="s">
        <v>10</v>
      </c>
    </row>
    <row r="1192" spans="1:12" x14ac:dyDescent="0.2">
      <c r="A1192" s="52"/>
      <c r="B1192" s="52"/>
      <c r="C1192" s="53" t="s">
        <v>434</v>
      </c>
      <c r="D1192" s="54"/>
      <c r="E1192" s="54"/>
      <c r="F1192" s="54"/>
      <c r="G1192" s="54"/>
      <c r="H1192" s="54"/>
      <c r="I1192" s="54"/>
      <c r="J1192" s="31">
        <v>1</v>
      </c>
      <c r="K1192" s="31"/>
      <c r="L1192" s="28"/>
    </row>
    <row r="1193" spans="1:12" x14ac:dyDescent="0.2">
      <c r="A1193" s="52"/>
      <c r="B1193" s="52"/>
      <c r="C1193" s="53" t="s">
        <v>435</v>
      </c>
      <c r="D1193" s="54"/>
      <c r="E1193" s="54"/>
      <c r="F1193" s="54"/>
      <c r="G1193" s="54"/>
      <c r="H1193" s="54"/>
      <c r="I1193" s="54"/>
      <c r="J1193" s="31">
        <v>1</v>
      </c>
      <c r="K1193" s="31"/>
      <c r="L1193" s="28"/>
    </row>
    <row r="1194" spans="1:12" x14ac:dyDescent="0.2">
      <c r="A1194" s="52"/>
      <c r="B1194" s="52"/>
      <c r="C1194" s="54"/>
      <c r="D1194" s="54"/>
      <c r="E1194" s="54"/>
      <c r="F1194" s="54"/>
      <c r="G1194" s="54"/>
      <c r="H1194" s="54"/>
      <c r="I1194" s="54"/>
      <c r="J1194" s="31"/>
      <c r="K1194" s="31"/>
      <c r="L1194" s="28"/>
    </row>
    <row r="1195" spans="1:12" x14ac:dyDescent="0.2">
      <c r="A1195" s="55" t="s">
        <v>16</v>
      </c>
      <c r="B1195" s="56"/>
      <c r="C1195" s="56"/>
      <c r="D1195" s="56"/>
      <c r="E1195" s="56"/>
      <c r="F1195" s="56"/>
      <c r="G1195" s="56"/>
      <c r="H1195" s="56"/>
      <c r="I1195" s="57"/>
      <c r="J1195" s="36">
        <f t="shared" ref="J1195:L1195" si="339">SUM(J1192:J1194)</f>
        <v>2</v>
      </c>
      <c r="K1195" s="36">
        <f t="shared" si="339"/>
        <v>0</v>
      </c>
      <c r="L1195" s="36">
        <f t="shared" si="339"/>
        <v>0</v>
      </c>
    </row>
    <row r="1196" spans="1:12" x14ac:dyDescent="0.2">
      <c r="A1196" s="27">
        <v>186</v>
      </c>
      <c r="B1196" s="28"/>
      <c r="C1196" s="50" t="s">
        <v>422</v>
      </c>
      <c r="D1196" s="51" t="s">
        <v>436</v>
      </c>
      <c r="E1196" s="30" t="s">
        <v>419</v>
      </c>
      <c r="F1196" s="31"/>
      <c r="G1196" s="31"/>
      <c r="H1196" s="31" t="s">
        <v>14</v>
      </c>
      <c r="I1196" s="31"/>
      <c r="J1196" s="32">
        <f t="shared" ref="J1196:K1196" si="340">+J1208</f>
        <v>11</v>
      </c>
      <c r="K1196" s="33">
        <f t="shared" si="340"/>
        <v>0</v>
      </c>
      <c r="L1196" s="37">
        <f>+I1196+J1196-K1196</f>
        <v>11</v>
      </c>
    </row>
    <row r="1197" spans="1:12" x14ac:dyDescent="0.2">
      <c r="A1197" s="58" t="s">
        <v>15</v>
      </c>
      <c r="B1197" s="58"/>
      <c r="C1197" s="59" t="s">
        <v>3</v>
      </c>
      <c r="D1197" s="59"/>
      <c r="E1197" s="59"/>
      <c r="F1197" s="59"/>
      <c r="G1197" s="59"/>
      <c r="H1197" s="59"/>
      <c r="I1197" s="59"/>
      <c r="J1197" s="35" t="s">
        <v>8</v>
      </c>
      <c r="K1197" s="35" t="s">
        <v>9</v>
      </c>
      <c r="L1197" s="35" t="s">
        <v>10</v>
      </c>
    </row>
    <row r="1198" spans="1:12" x14ac:dyDescent="0.2">
      <c r="A1198" s="52"/>
      <c r="B1198" s="52"/>
      <c r="C1198" s="53" t="s">
        <v>439</v>
      </c>
      <c r="D1198" s="54"/>
      <c r="E1198" s="54"/>
      <c r="F1198" s="54"/>
      <c r="G1198" s="54"/>
      <c r="H1198" s="54"/>
      <c r="I1198" s="54"/>
      <c r="J1198" s="31">
        <v>1</v>
      </c>
      <c r="K1198" s="31"/>
      <c r="L1198" s="28"/>
    </row>
    <row r="1199" spans="1:12" x14ac:dyDescent="0.2">
      <c r="A1199" s="52"/>
      <c r="B1199" s="52"/>
      <c r="C1199" s="53" t="s">
        <v>438</v>
      </c>
      <c r="D1199" s="54"/>
      <c r="E1199" s="54"/>
      <c r="F1199" s="54"/>
      <c r="G1199" s="54"/>
      <c r="H1199" s="54"/>
      <c r="I1199" s="54"/>
      <c r="J1199" s="31">
        <v>1</v>
      </c>
      <c r="K1199" s="31"/>
      <c r="L1199" s="28"/>
    </row>
    <row r="1200" spans="1:12" x14ac:dyDescent="0.2">
      <c r="A1200" s="52"/>
      <c r="B1200" s="52"/>
      <c r="C1200" s="53" t="s">
        <v>440</v>
      </c>
      <c r="D1200" s="54"/>
      <c r="E1200" s="54"/>
      <c r="F1200" s="54"/>
      <c r="G1200" s="54"/>
      <c r="H1200" s="54"/>
      <c r="I1200" s="54"/>
      <c r="J1200" s="31">
        <v>1</v>
      </c>
      <c r="K1200" s="31"/>
      <c r="L1200" s="28"/>
    </row>
    <row r="1201" spans="1:12" x14ac:dyDescent="0.2">
      <c r="A1201" s="52"/>
      <c r="B1201" s="52"/>
      <c r="C1201" s="53" t="s">
        <v>441</v>
      </c>
      <c r="D1201" s="54"/>
      <c r="E1201" s="54"/>
      <c r="F1201" s="54"/>
      <c r="G1201" s="54"/>
      <c r="H1201" s="54"/>
      <c r="I1201" s="54"/>
      <c r="J1201" s="31">
        <v>1</v>
      </c>
      <c r="K1201" s="31"/>
      <c r="L1201" s="28"/>
    </row>
    <row r="1202" spans="1:12" x14ac:dyDescent="0.2">
      <c r="A1202" s="52"/>
      <c r="B1202" s="52"/>
      <c r="C1202" s="53" t="s">
        <v>442</v>
      </c>
      <c r="D1202" s="54"/>
      <c r="E1202" s="54"/>
      <c r="F1202" s="54"/>
      <c r="G1202" s="54"/>
      <c r="H1202" s="54"/>
      <c r="I1202" s="54"/>
      <c r="J1202" s="31">
        <v>1</v>
      </c>
      <c r="K1202" s="31"/>
      <c r="L1202" s="28"/>
    </row>
    <row r="1203" spans="1:12" x14ac:dyDescent="0.2">
      <c r="A1203" s="52"/>
      <c r="B1203" s="52"/>
      <c r="C1203" s="53" t="s">
        <v>443</v>
      </c>
      <c r="D1203" s="54"/>
      <c r="E1203" s="54"/>
      <c r="F1203" s="54"/>
      <c r="G1203" s="54"/>
      <c r="H1203" s="54"/>
      <c r="I1203" s="54"/>
      <c r="J1203" s="31">
        <v>1</v>
      </c>
      <c r="K1203" s="31"/>
      <c r="L1203" s="28"/>
    </row>
    <row r="1204" spans="1:12" x14ac:dyDescent="0.2">
      <c r="A1204" s="52"/>
      <c r="B1204" s="52"/>
      <c r="C1204" s="53" t="s">
        <v>448</v>
      </c>
      <c r="D1204" s="54"/>
      <c r="E1204" s="54"/>
      <c r="F1204" s="54"/>
      <c r="G1204" s="54"/>
      <c r="H1204" s="54"/>
      <c r="I1204" s="54"/>
      <c r="J1204" s="31">
        <v>2</v>
      </c>
      <c r="K1204" s="31"/>
      <c r="L1204" s="28"/>
    </row>
    <row r="1205" spans="1:12" x14ac:dyDescent="0.2">
      <c r="A1205" s="52"/>
      <c r="B1205" s="52"/>
      <c r="C1205" s="53" t="s">
        <v>449</v>
      </c>
      <c r="D1205" s="54"/>
      <c r="E1205" s="54"/>
      <c r="F1205" s="54"/>
      <c r="G1205" s="54"/>
      <c r="H1205" s="54"/>
      <c r="I1205" s="54"/>
      <c r="J1205" s="31">
        <v>2</v>
      </c>
      <c r="K1205" s="31"/>
      <c r="L1205" s="28"/>
    </row>
    <row r="1206" spans="1:12" x14ac:dyDescent="0.2">
      <c r="A1206" s="52"/>
      <c r="B1206" s="52"/>
      <c r="C1206" s="53" t="s">
        <v>450</v>
      </c>
      <c r="D1206" s="54"/>
      <c r="E1206" s="54"/>
      <c r="F1206" s="54"/>
      <c r="G1206" s="54"/>
      <c r="H1206" s="54"/>
      <c r="I1206" s="54"/>
      <c r="J1206" s="31">
        <v>1</v>
      </c>
      <c r="K1206" s="31"/>
      <c r="L1206" s="28"/>
    </row>
    <row r="1207" spans="1:12" x14ac:dyDescent="0.2">
      <c r="A1207" s="52"/>
      <c r="B1207" s="52"/>
      <c r="C1207" s="54"/>
      <c r="D1207" s="54"/>
      <c r="E1207" s="54"/>
      <c r="F1207" s="54"/>
      <c r="G1207" s="54"/>
      <c r="H1207" s="54"/>
      <c r="I1207" s="54"/>
      <c r="J1207" s="31"/>
      <c r="K1207" s="31"/>
      <c r="L1207" s="28"/>
    </row>
    <row r="1208" spans="1:12" x14ac:dyDescent="0.2">
      <c r="A1208" s="55" t="s">
        <v>16</v>
      </c>
      <c r="B1208" s="56"/>
      <c r="C1208" s="56"/>
      <c r="D1208" s="56"/>
      <c r="E1208" s="56"/>
      <c r="F1208" s="56"/>
      <c r="G1208" s="56"/>
      <c r="H1208" s="56"/>
      <c r="I1208" s="57"/>
      <c r="J1208" s="36">
        <f>SUM(J1198:J1207)</f>
        <v>11</v>
      </c>
      <c r="K1208" s="36">
        <f>SUM(K1198:K1207)</f>
        <v>0</v>
      </c>
      <c r="L1208" s="36">
        <f>SUM(L1198:L1207)</f>
        <v>0</v>
      </c>
    </row>
    <row r="1209" spans="1:12" x14ac:dyDescent="0.2">
      <c r="A1209" s="27">
        <v>187</v>
      </c>
      <c r="B1209" s="28"/>
      <c r="C1209" s="50" t="s">
        <v>422</v>
      </c>
      <c r="D1209" s="51" t="s">
        <v>444</v>
      </c>
      <c r="E1209" s="30" t="s">
        <v>419</v>
      </c>
      <c r="F1209" s="31"/>
      <c r="G1209" s="31"/>
      <c r="H1209" s="31" t="s">
        <v>14</v>
      </c>
      <c r="I1209" s="31"/>
      <c r="J1209" s="32">
        <f t="shared" ref="J1209:K1209" si="341">+J1214</f>
        <v>2</v>
      </c>
      <c r="K1209" s="33">
        <f t="shared" si="341"/>
        <v>0</v>
      </c>
      <c r="L1209" s="37">
        <f>+I1209+J1209-K1209</f>
        <v>2</v>
      </c>
    </row>
    <row r="1210" spans="1:12" x14ac:dyDescent="0.2">
      <c r="A1210" s="58" t="s">
        <v>15</v>
      </c>
      <c r="B1210" s="58"/>
      <c r="C1210" s="59" t="s">
        <v>3</v>
      </c>
      <c r="D1210" s="59"/>
      <c r="E1210" s="59"/>
      <c r="F1210" s="59"/>
      <c r="G1210" s="59"/>
      <c r="H1210" s="59"/>
      <c r="I1210" s="59"/>
      <c r="J1210" s="35" t="s">
        <v>8</v>
      </c>
      <c r="K1210" s="35" t="s">
        <v>9</v>
      </c>
      <c r="L1210" s="35" t="s">
        <v>10</v>
      </c>
    </row>
    <row r="1211" spans="1:12" x14ac:dyDescent="0.2">
      <c r="A1211" s="52"/>
      <c r="B1211" s="52"/>
      <c r="C1211" s="53" t="s">
        <v>437</v>
      </c>
      <c r="D1211" s="54"/>
      <c r="E1211" s="54"/>
      <c r="F1211" s="54"/>
      <c r="G1211" s="54"/>
      <c r="H1211" s="54"/>
      <c r="I1211" s="54"/>
      <c r="J1211" s="31">
        <v>1</v>
      </c>
      <c r="K1211" s="31"/>
      <c r="L1211" s="28"/>
    </row>
    <row r="1212" spans="1:12" x14ac:dyDescent="0.2">
      <c r="A1212" s="52"/>
      <c r="B1212" s="52"/>
      <c r="C1212" s="53" t="s">
        <v>445</v>
      </c>
      <c r="D1212" s="54"/>
      <c r="E1212" s="54"/>
      <c r="F1212" s="54"/>
      <c r="G1212" s="54"/>
      <c r="H1212" s="54"/>
      <c r="I1212" s="54"/>
      <c r="J1212" s="31">
        <v>1</v>
      </c>
      <c r="K1212" s="31"/>
      <c r="L1212" s="28"/>
    </row>
    <row r="1213" spans="1:12" x14ac:dyDescent="0.2">
      <c r="A1213" s="52"/>
      <c r="B1213" s="52"/>
      <c r="C1213" s="54"/>
      <c r="D1213" s="54"/>
      <c r="E1213" s="54"/>
      <c r="F1213" s="54"/>
      <c r="G1213" s="54"/>
      <c r="H1213" s="54"/>
      <c r="I1213" s="54"/>
      <c r="J1213" s="31"/>
      <c r="K1213" s="31"/>
      <c r="L1213" s="28"/>
    </row>
    <row r="1214" spans="1:12" x14ac:dyDescent="0.2">
      <c r="A1214" s="55" t="s">
        <v>16</v>
      </c>
      <c r="B1214" s="56"/>
      <c r="C1214" s="56"/>
      <c r="D1214" s="56"/>
      <c r="E1214" s="56"/>
      <c r="F1214" s="56"/>
      <c r="G1214" s="56"/>
      <c r="H1214" s="56"/>
      <c r="I1214" s="57"/>
      <c r="J1214" s="36">
        <f t="shared" ref="J1214:L1214" si="342">SUM(J1211:J1213)</f>
        <v>2</v>
      </c>
      <c r="K1214" s="36">
        <f t="shared" si="342"/>
        <v>0</v>
      </c>
      <c r="L1214" s="36">
        <f t="shared" si="342"/>
        <v>0</v>
      </c>
    </row>
    <row r="1215" spans="1:12" x14ac:dyDescent="0.2">
      <c r="A1215" s="27">
        <v>188</v>
      </c>
      <c r="B1215" s="28"/>
      <c r="C1215" s="50" t="s">
        <v>422</v>
      </c>
      <c r="D1215" s="51" t="s">
        <v>446</v>
      </c>
      <c r="E1215" s="30" t="s">
        <v>419</v>
      </c>
      <c r="F1215" s="31"/>
      <c r="G1215" s="31"/>
      <c r="H1215" s="31" t="s">
        <v>14</v>
      </c>
      <c r="I1215" s="31">
        <v>2</v>
      </c>
      <c r="J1215" s="32">
        <f t="shared" ref="J1215:K1215" si="343">+J1220</f>
        <v>0</v>
      </c>
      <c r="K1215" s="33">
        <f t="shared" si="343"/>
        <v>0</v>
      </c>
      <c r="L1215" s="37">
        <f>+I1215+J1215-K1215</f>
        <v>2</v>
      </c>
    </row>
    <row r="1216" spans="1:12" x14ac:dyDescent="0.2">
      <c r="A1216" s="58" t="s">
        <v>15</v>
      </c>
      <c r="B1216" s="58"/>
      <c r="C1216" s="59" t="s">
        <v>3</v>
      </c>
      <c r="D1216" s="59"/>
      <c r="E1216" s="59"/>
      <c r="F1216" s="59"/>
      <c r="G1216" s="59"/>
      <c r="H1216" s="59"/>
      <c r="I1216" s="59"/>
      <c r="J1216" s="35" t="s">
        <v>8</v>
      </c>
      <c r="K1216" s="35" t="s">
        <v>9</v>
      </c>
      <c r="L1216" s="35" t="s">
        <v>10</v>
      </c>
    </row>
    <row r="1217" spans="1:12" x14ac:dyDescent="0.2">
      <c r="A1217" s="52"/>
      <c r="B1217" s="52"/>
      <c r="C1217" s="53"/>
      <c r="D1217" s="54"/>
      <c r="E1217" s="54"/>
      <c r="F1217" s="54"/>
      <c r="G1217" s="54"/>
      <c r="H1217" s="54"/>
      <c r="I1217" s="54"/>
      <c r="J1217" s="31"/>
      <c r="K1217" s="31"/>
      <c r="L1217" s="28"/>
    </row>
    <row r="1218" spans="1:12" x14ac:dyDescent="0.2">
      <c r="A1218" s="52"/>
      <c r="B1218" s="52"/>
      <c r="C1218" s="53"/>
      <c r="D1218" s="54"/>
      <c r="E1218" s="54"/>
      <c r="F1218" s="54"/>
      <c r="G1218" s="54"/>
      <c r="H1218" s="54"/>
      <c r="I1218" s="54"/>
      <c r="J1218" s="31"/>
      <c r="K1218" s="31"/>
      <c r="L1218" s="28"/>
    </row>
    <row r="1219" spans="1:12" x14ac:dyDescent="0.2">
      <c r="A1219" s="52"/>
      <c r="B1219" s="52"/>
      <c r="C1219" s="54"/>
      <c r="D1219" s="54"/>
      <c r="E1219" s="54"/>
      <c r="F1219" s="54"/>
      <c r="G1219" s="54"/>
      <c r="H1219" s="54"/>
      <c r="I1219" s="54"/>
      <c r="J1219" s="31"/>
      <c r="K1219" s="31"/>
      <c r="L1219" s="28"/>
    </row>
    <row r="1220" spans="1:12" x14ac:dyDescent="0.2">
      <c r="A1220" s="55" t="s">
        <v>16</v>
      </c>
      <c r="B1220" s="56"/>
      <c r="C1220" s="56"/>
      <c r="D1220" s="56"/>
      <c r="E1220" s="56"/>
      <c r="F1220" s="56"/>
      <c r="G1220" s="56"/>
      <c r="H1220" s="56"/>
      <c r="I1220" s="57"/>
      <c r="J1220" s="36">
        <f t="shared" ref="J1220:L1220" si="344">SUM(J1217:J1219)</f>
        <v>0</v>
      </c>
      <c r="K1220" s="36">
        <f t="shared" si="344"/>
        <v>0</v>
      </c>
      <c r="L1220" s="36">
        <f t="shared" si="344"/>
        <v>0</v>
      </c>
    </row>
    <row r="1221" spans="1:12" x14ac:dyDescent="0.2">
      <c r="A1221" s="27">
        <v>189</v>
      </c>
      <c r="B1221" s="28"/>
      <c r="C1221" s="50" t="s">
        <v>422</v>
      </c>
      <c r="D1221" s="51" t="s">
        <v>447</v>
      </c>
      <c r="E1221" s="30" t="s">
        <v>419</v>
      </c>
      <c r="F1221" s="31"/>
      <c r="G1221" s="31"/>
      <c r="H1221" s="31" t="s">
        <v>14</v>
      </c>
      <c r="I1221" s="31">
        <v>2</v>
      </c>
      <c r="J1221" s="32">
        <f t="shared" ref="J1221:K1221" si="345">+J1226</f>
        <v>0</v>
      </c>
      <c r="K1221" s="33">
        <f t="shared" si="345"/>
        <v>0</v>
      </c>
      <c r="L1221" s="37">
        <f>+I1221+J1221-K1221</f>
        <v>2</v>
      </c>
    </row>
    <row r="1222" spans="1:12" x14ac:dyDescent="0.2">
      <c r="A1222" s="58" t="s">
        <v>15</v>
      </c>
      <c r="B1222" s="58"/>
      <c r="C1222" s="59" t="s">
        <v>3</v>
      </c>
      <c r="D1222" s="59"/>
      <c r="E1222" s="59"/>
      <c r="F1222" s="59"/>
      <c r="G1222" s="59"/>
      <c r="H1222" s="59"/>
      <c r="I1222" s="59"/>
      <c r="J1222" s="35" t="s">
        <v>8</v>
      </c>
      <c r="K1222" s="35" t="s">
        <v>9</v>
      </c>
      <c r="L1222" s="35" t="s">
        <v>10</v>
      </c>
    </row>
    <row r="1223" spans="1:12" x14ac:dyDescent="0.2">
      <c r="A1223" s="52"/>
      <c r="B1223" s="52"/>
      <c r="C1223" s="53"/>
      <c r="D1223" s="54"/>
      <c r="E1223" s="54"/>
      <c r="F1223" s="54"/>
      <c r="G1223" s="54"/>
      <c r="H1223" s="54"/>
      <c r="I1223" s="54"/>
      <c r="J1223" s="31"/>
      <c r="K1223" s="31"/>
      <c r="L1223" s="28"/>
    </row>
    <row r="1224" spans="1:12" x14ac:dyDescent="0.2">
      <c r="A1224" s="52"/>
      <c r="B1224" s="52"/>
      <c r="C1224" s="53"/>
      <c r="D1224" s="54"/>
      <c r="E1224" s="54"/>
      <c r="F1224" s="54"/>
      <c r="G1224" s="54"/>
      <c r="H1224" s="54"/>
      <c r="I1224" s="54"/>
      <c r="J1224" s="31"/>
      <c r="K1224" s="31"/>
      <c r="L1224" s="28"/>
    </row>
    <row r="1225" spans="1:12" x14ac:dyDescent="0.2">
      <c r="A1225" s="52"/>
      <c r="B1225" s="52"/>
      <c r="C1225" s="54"/>
      <c r="D1225" s="54"/>
      <c r="E1225" s="54"/>
      <c r="F1225" s="54"/>
      <c r="G1225" s="54"/>
      <c r="H1225" s="54"/>
      <c r="I1225" s="54"/>
      <c r="J1225" s="31"/>
      <c r="K1225" s="31"/>
      <c r="L1225" s="28"/>
    </row>
    <row r="1226" spans="1:12" x14ac:dyDescent="0.2">
      <c r="A1226" s="55" t="s">
        <v>16</v>
      </c>
      <c r="B1226" s="56"/>
      <c r="C1226" s="56"/>
      <c r="D1226" s="56"/>
      <c r="E1226" s="56"/>
      <c r="F1226" s="56"/>
      <c r="G1226" s="56"/>
      <c r="H1226" s="56"/>
      <c r="I1226" s="57"/>
      <c r="J1226" s="36">
        <f t="shared" ref="J1226:L1226" si="346">SUM(J1223:J1225)</f>
        <v>0</v>
      </c>
      <c r="K1226" s="36">
        <f t="shared" si="346"/>
        <v>0</v>
      </c>
      <c r="L1226" s="36">
        <f t="shared" si="346"/>
        <v>0</v>
      </c>
    </row>
    <row r="1227" spans="1:12" x14ac:dyDescent="0.2">
      <c r="A1227" s="27">
        <v>190</v>
      </c>
      <c r="B1227" s="28"/>
      <c r="C1227" s="50" t="s">
        <v>422</v>
      </c>
      <c r="D1227" s="51" t="s">
        <v>451</v>
      </c>
      <c r="E1227" s="30" t="s">
        <v>419</v>
      </c>
      <c r="F1227" s="31"/>
      <c r="G1227" s="31"/>
      <c r="H1227" s="31" t="s">
        <v>14</v>
      </c>
      <c r="I1227" s="31">
        <v>1</v>
      </c>
      <c r="J1227" s="32">
        <f t="shared" ref="J1227:K1227" si="347">+J1232</f>
        <v>0</v>
      </c>
      <c r="K1227" s="33">
        <f t="shared" si="347"/>
        <v>0</v>
      </c>
      <c r="L1227" s="37">
        <f>+I1227+J1227-K1227</f>
        <v>1</v>
      </c>
    </row>
    <row r="1228" spans="1:12" x14ac:dyDescent="0.2">
      <c r="A1228" s="58" t="s">
        <v>15</v>
      </c>
      <c r="B1228" s="58"/>
      <c r="C1228" s="59" t="s">
        <v>3</v>
      </c>
      <c r="D1228" s="59"/>
      <c r="E1228" s="59"/>
      <c r="F1228" s="59"/>
      <c r="G1228" s="59"/>
      <c r="H1228" s="59"/>
      <c r="I1228" s="59"/>
      <c r="J1228" s="35" t="s">
        <v>8</v>
      </c>
      <c r="K1228" s="35" t="s">
        <v>9</v>
      </c>
      <c r="L1228" s="35" t="s">
        <v>10</v>
      </c>
    </row>
    <row r="1229" spans="1:12" x14ac:dyDescent="0.2">
      <c r="A1229" s="52"/>
      <c r="B1229" s="52"/>
      <c r="C1229" s="53"/>
      <c r="D1229" s="54"/>
      <c r="E1229" s="54"/>
      <c r="F1229" s="54"/>
      <c r="G1229" s="54"/>
      <c r="H1229" s="54"/>
      <c r="I1229" s="54"/>
      <c r="J1229" s="31"/>
      <c r="K1229" s="31"/>
      <c r="L1229" s="28"/>
    </row>
    <row r="1230" spans="1:12" x14ac:dyDescent="0.2">
      <c r="A1230" s="52"/>
      <c r="B1230" s="52"/>
      <c r="C1230" s="53"/>
      <c r="D1230" s="54"/>
      <c r="E1230" s="54"/>
      <c r="F1230" s="54"/>
      <c r="G1230" s="54"/>
      <c r="H1230" s="54"/>
      <c r="I1230" s="54"/>
      <c r="J1230" s="31"/>
      <c r="K1230" s="31"/>
      <c r="L1230" s="28"/>
    </row>
    <row r="1231" spans="1:12" x14ac:dyDescent="0.2">
      <c r="A1231" s="52"/>
      <c r="B1231" s="52"/>
      <c r="C1231" s="54"/>
      <c r="D1231" s="54"/>
      <c r="E1231" s="54"/>
      <c r="F1231" s="54"/>
      <c r="G1231" s="54"/>
      <c r="H1231" s="54"/>
      <c r="I1231" s="54"/>
      <c r="J1231" s="31"/>
      <c r="K1231" s="31"/>
      <c r="L1231" s="28"/>
    </row>
    <row r="1232" spans="1:12" x14ac:dyDescent="0.2">
      <c r="A1232" s="55" t="s">
        <v>16</v>
      </c>
      <c r="B1232" s="56"/>
      <c r="C1232" s="56"/>
      <c r="D1232" s="56"/>
      <c r="E1232" s="56"/>
      <c r="F1232" s="56"/>
      <c r="G1232" s="56"/>
      <c r="H1232" s="56"/>
      <c r="I1232" s="57"/>
      <c r="J1232" s="36">
        <f t="shared" ref="J1232:L1232" si="348">SUM(J1229:J1231)</f>
        <v>0</v>
      </c>
      <c r="K1232" s="36">
        <f t="shared" si="348"/>
        <v>0</v>
      </c>
      <c r="L1232" s="36">
        <f t="shared" si="348"/>
        <v>0</v>
      </c>
    </row>
    <row r="1233" spans="1:12" x14ac:dyDescent="0.2">
      <c r="A1233" s="27">
        <v>191</v>
      </c>
      <c r="B1233" s="28"/>
      <c r="C1233" s="50" t="s">
        <v>422</v>
      </c>
      <c r="D1233" s="51" t="s">
        <v>452</v>
      </c>
      <c r="E1233" s="30" t="s">
        <v>419</v>
      </c>
      <c r="F1233" s="31"/>
      <c r="G1233" s="31"/>
      <c r="H1233" s="31" t="s">
        <v>14</v>
      </c>
      <c r="I1233" s="31">
        <v>2</v>
      </c>
      <c r="J1233" s="32">
        <f t="shared" ref="J1233:K1233" si="349">+J1238</f>
        <v>0</v>
      </c>
      <c r="K1233" s="33">
        <f t="shared" si="349"/>
        <v>0</v>
      </c>
      <c r="L1233" s="37">
        <f>+I1233+J1233-K1233</f>
        <v>2</v>
      </c>
    </row>
    <row r="1234" spans="1:12" x14ac:dyDescent="0.2">
      <c r="A1234" s="58" t="s">
        <v>15</v>
      </c>
      <c r="B1234" s="58"/>
      <c r="C1234" s="59" t="s">
        <v>3</v>
      </c>
      <c r="D1234" s="59"/>
      <c r="E1234" s="59"/>
      <c r="F1234" s="59"/>
      <c r="G1234" s="59"/>
      <c r="H1234" s="59"/>
      <c r="I1234" s="59"/>
      <c r="J1234" s="35" t="s">
        <v>8</v>
      </c>
      <c r="K1234" s="35" t="s">
        <v>9</v>
      </c>
      <c r="L1234" s="35" t="s">
        <v>10</v>
      </c>
    </row>
    <row r="1235" spans="1:12" x14ac:dyDescent="0.2">
      <c r="A1235" s="52"/>
      <c r="B1235" s="52"/>
      <c r="C1235" s="53"/>
      <c r="D1235" s="54"/>
      <c r="E1235" s="54"/>
      <c r="F1235" s="54"/>
      <c r="G1235" s="54"/>
      <c r="H1235" s="54"/>
      <c r="I1235" s="54"/>
      <c r="J1235" s="31"/>
      <c r="K1235" s="31"/>
      <c r="L1235" s="28"/>
    </row>
    <row r="1236" spans="1:12" x14ac:dyDescent="0.2">
      <c r="A1236" s="52"/>
      <c r="B1236" s="52"/>
      <c r="C1236" s="53"/>
      <c r="D1236" s="54"/>
      <c r="E1236" s="54"/>
      <c r="F1236" s="54"/>
      <c r="G1236" s="54"/>
      <c r="H1236" s="54"/>
      <c r="I1236" s="54"/>
      <c r="J1236" s="31"/>
      <c r="K1236" s="31"/>
      <c r="L1236" s="28"/>
    </row>
    <row r="1237" spans="1:12" x14ac:dyDescent="0.2">
      <c r="A1237" s="52"/>
      <c r="B1237" s="52"/>
      <c r="C1237" s="54"/>
      <c r="D1237" s="54"/>
      <c r="E1237" s="54"/>
      <c r="F1237" s="54"/>
      <c r="G1237" s="54"/>
      <c r="H1237" s="54"/>
      <c r="I1237" s="54"/>
      <c r="J1237" s="31"/>
      <c r="K1237" s="31"/>
      <c r="L1237" s="28"/>
    </row>
    <row r="1238" spans="1:12" x14ac:dyDescent="0.2">
      <c r="A1238" s="55" t="s">
        <v>16</v>
      </c>
      <c r="B1238" s="56"/>
      <c r="C1238" s="56"/>
      <c r="D1238" s="56"/>
      <c r="E1238" s="56"/>
      <c r="F1238" s="56"/>
      <c r="G1238" s="56"/>
      <c r="H1238" s="56"/>
      <c r="I1238" s="57"/>
      <c r="J1238" s="36">
        <f t="shared" ref="J1238:L1238" si="350">SUM(J1235:J1237)</f>
        <v>0</v>
      </c>
      <c r="K1238" s="36">
        <f t="shared" si="350"/>
        <v>0</v>
      </c>
      <c r="L1238" s="36">
        <f t="shared" si="350"/>
        <v>0</v>
      </c>
    </row>
    <row r="1239" spans="1:12" x14ac:dyDescent="0.2">
      <c r="A1239" s="27">
        <v>192</v>
      </c>
      <c r="B1239" s="28"/>
      <c r="C1239" s="50" t="s">
        <v>422</v>
      </c>
      <c r="D1239" s="51" t="s">
        <v>453</v>
      </c>
      <c r="E1239" s="30" t="s">
        <v>419</v>
      </c>
      <c r="F1239" s="31"/>
      <c r="G1239" s="31"/>
      <c r="H1239" s="31" t="s">
        <v>14</v>
      </c>
      <c r="I1239" s="31">
        <v>3</v>
      </c>
      <c r="J1239" s="32">
        <f t="shared" ref="J1239:K1239" si="351">+J1244</f>
        <v>0</v>
      </c>
      <c r="K1239" s="33">
        <f t="shared" si="351"/>
        <v>0</v>
      </c>
      <c r="L1239" s="37">
        <f>+I1239+J1239-K1239</f>
        <v>3</v>
      </c>
    </row>
    <row r="1240" spans="1:12" x14ac:dyDescent="0.2">
      <c r="A1240" s="58" t="s">
        <v>15</v>
      </c>
      <c r="B1240" s="58"/>
      <c r="C1240" s="59" t="s">
        <v>3</v>
      </c>
      <c r="D1240" s="59"/>
      <c r="E1240" s="59"/>
      <c r="F1240" s="59"/>
      <c r="G1240" s="59"/>
      <c r="H1240" s="59"/>
      <c r="I1240" s="59"/>
      <c r="J1240" s="35" t="s">
        <v>8</v>
      </c>
      <c r="K1240" s="35" t="s">
        <v>9</v>
      </c>
      <c r="L1240" s="35" t="s">
        <v>10</v>
      </c>
    </row>
    <row r="1241" spans="1:12" x14ac:dyDescent="0.2">
      <c r="A1241" s="52"/>
      <c r="B1241" s="52"/>
      <c r="C1241" s="53"/>
      <c r="D1241" s="54"/>
      <c r="E1241" s="54"/>
      <c r="F1241" s="54"/>
      <c r="G1241" s="54"/>
      <c r="H1241" s="54"/>
      <c r="I1241" s="54"/>
      <c r="J1241" s="31"/>
      <c r="K1241" s="31"/>
      <c r="L1241" s="28"/>
    </row>
    <row r="1242" spans="1:12" x14ac:dyDescent="0.2">
      <c r="A1242" s="52"/>
      <c r="B1242" s="52"/>
      <c r="C1242" s="53"/>
      <c r="D1242" s="54"/>
      <c r="E1242" s="54"/>
      <c r="F1242" s="54"/>
      <c r="G1242" s="54"/>
      <c r="H1242" s="54"/>
      <c r="I1242" s="54"/>
      <c r="J1242" s="31"/>
      <c r="K1242" s="31"/>
      <c r="L1242" s="28"/>
    </row>
    <row r="1243" spans="1:12" x14ac:dyDescent="0.2">
      <c r="A1243" s="52"/>
      <c r="B1243" s="52"/>
      <c r="C1243" s="54"/>
      <c r="D1243" s="54"/>
      <c r="E1243" s="54"/>
      <c r="F1243" s="54"/>
      <c r="G1243" s="54"/>
      <c r="H1243" s="54"/>
      <c r="I1243" s="54"/>
      <c r="J1243" s="31"/>
      <c r="K1243" s="31"/>
      <c r="L1243" s="28"/>
    </row>
    <row r="1244" spans="1:12" x14ac:dyDescent="0.2">
      <c r="A1244" s="55" t="s">
        <v>16</v>
      </c>
      <c r="B1244" s="56"/>
      <c r="C1244" s="56"/>
      <c r="D1244" s="56"/>
      <c r="E1244" s="56"/>
      <c r="F1244" s="56"/>
      <c r="G1244" s="56"/>
      <c r="H1244" s="56"/>
      <c r="I1244" s="57"/>
      <c r="J1244" s="36">
        <f t="shared" ref="J1244:L1244" si="352">SUM(J1241:J1243)</f>
        <v>0</v>
      </c>
      <c r="K1244" s="36">
        <f t="shared" si="352"/>
        <v>0</v>
      </c>
      <c r="L1244" s="36">
        <f t="shared" si="352"/>
        <v>0</v>
      </c>
    </row>
    <row r="1245" spans="1:12" x14ac:dyDescent="0.2">
      <c r="A1245" s="27">
        <v>193</v>
      </c>
      <c r="B1245" s="28"/>
      <c r="C1245" s="50" t="s">
        <v>422</v>
      </c>
      <c r="D1245" s="51" t="s">
        <v>454</v>
      </c>
      <c r="E1245" s="30" t="s">
        <v>419</v>
      </c>
      <c r="F1245" s="31"/>
      <c r="G1245" s="31"/>
      <c r="H1245" s="31" t="s">
        <v>14</v>
      </c>
      <c r="I1245" s="31">
        <v>1</v>
      </c>
      <c r="J1245" s="32">
        <f t="shared" ref="J1245:K1245" si="353">+J1250</f>
        <v>0</v>
      </c>
      <c r="K1245" s="33">
        <f t="shared" si="353"/>
        <v>0</v>
      </c>
      <c r="L1245" s="37">
        <f>+I1245+J1245-K1245</f>
        <v>1</v>
      </c>
    </row>
    <row r="1246" spans="1:12" x14ac:dyDescent="0.2">
      <c r="A1246" s="58" t="s">
        <v>15</v>
      </c>
      <c r="B1246" s="58"/>
      <c r="C1246" s="59" t="s">
        <v>3</v>
      </c>
      <c r="D1246" s="59"/>
      <c r="E1246" s="59"/>
      <c r="F1246" s="59"/>
      <c r="G1246" s="59"/>
      <c r="H1246" s="59"/>
      <c r="I1246" s="59"/>
      <c r="J1246" s="35" t="s">
        <v>8</v>
      </c>
      <c r="K1246" s="35" t="s">
        <v>9</v>
      </c>
      <c r="L1246" s="35" t="s">
        <v>10</v>
      </c>
    </row>
    <row r="1247" spans="1:12" x14ac:dyDescent="0.2">
      <c r="A1247" s="52"/>
      <c r="B1247" s="52"/>
      <c r="C1247" s="53"/>
      <c r="D1247" s="54"/>
      <c r="E1247" s="54"/>
      <c r="F1247" s="54"/>
      <c r="G1247" s="54"/>
      <c r="H1247" s="54"/>
      <c r="I1247" s="54"/>
      <c r="J1247" s="31"/>
      <c r="K1247" s="31"/>
      <c r="L1247" s="28"/>
    </row>
    <row r="1248" spans="1:12" x14ac:dyDescent="0.2">
      <c r="A1248" s="52"/>
      <c r="B1248" s="52"/>
      <c r="C1248" s="53"/>
      <c r="D1248" s="54"/>
      <c r="E1248" s="54"/>
      <c r="F1248" s="54"/>
      <c r="G1248" s="54"/>
      <c r="H1248" s="54"/>
      <c r="I1248" s="54"/>
      <c r="J1248" s="31"/>
      <c r="K1248" s="31"/>
      <c r="L1248" s="28"/>
    </row>
    <row r="1249" spans="1:12" x14ac:dyDescent="0.2">
      <c r="A1249" s="52"/>
      <c r="B1249" s="52"/>
      <c r="C1249" s="54"/>
      <c r="D1249" s="54"/>
      <c r="E1249" s="54"/>
      <c r="F1249" s="54"/>
      <c r="G1249" s="54"/>
      <c r="H1249" s="54"/>
      <c r="I1249" s="54"/>
      <c r="J1249" s="31"/>
      <c r="K1249" s="31"/>
      <c r="L1249" s="28"/>
    </row>
    <row r="1250" spans="1:12" x14ac:dyDescent="0.2">
      <c r="A1250" s="55" t="s">
        <v>16</v>
      </c>
      <c r="B1250" s="56"/>
      <c r="C1250" s="56"/>
      <c r="D1250" s="56"/>
      <c r="E1250" s="56"/>
      <c r="F1250" s="56"/>
      <c r="G1250" s="56"/>
      <c r="H1250" s="56"/>
      <c r="I1250" s="57"/>
      <c r="J1250" s="36">
        <f t="shared" ref="J1250:L1250" si="354">SUM(J1247:J1249)</f>
        <v>0</v>
      </c>
      <c r="K1250" s="36">
        <f t="shared" si="354"/>
        <v>0</v>
      </c>
      <c r="L1250" s="36">
        <f t="shared" si="354"/>
        <v>0</v>
      </c>
    </row>
    <row r="1251" spans="1:12" x14ac:dyDescent="0.2">
      <c r="A1251" s="27">
        <v>194</v>
      </c>
      <c r="B1251" s="28"/>
      <c r="C1251" s="50" t="s">
        <v>422</v>
      </c>
      <c r="D1251" s="51" t="s">
        <v>455</v>
      </c>
      <c r="E1251" s="30" t="s">
        <v>419</v>
      </c>
      <c r="F1251" s="31"/>
      <c r="G1251" s="31"/>
      <c r="H1251" s="31" t="s">
        <v>14</v>
      </c>
      <c r="I1251" s="31">
        <v>1</v>
      </c>
      <c r="J1251" s="32">
        <f t="shared" ref="J1251:K1251" si="355">+J1256</f>
        <v>0</v>
      </c>
      <c r="K1251" s="33">
        <f t="shared" si="355"/>
        <v>0</v>
      </c>
      <c r="L1251" s="37">
        <f>+I1251+J1251-K1251</f>
        <v>1</v>
      </c>
    </row>
    <row r="1252" spans="1:12" x14ac:dyDescent="0.2">
      <c r="A1252" s="58" t="s">
        <v>15</v>
      </c>
      <c r="B1252" s="58"/>
      <c r="C1252" s="59" t="s">
        <v>3</v>
      </c>
      <c r="D1252" s="59"/>
      <c r="E1252" s="59"/>
      <c r="F1252" s="59"/>
      <c r="G1252" s="59"/>
      <c r="H1252" s="59"/>
      <c r="I1252" s="59"/>
      <c r="J1252" s="35" t="s">
        <v>8</v>
      </c>
      <c r="K1252" s="35" t="s">
        <v>9</v>
      </c>
      <c r="L1252" s="35" t="s">
        <v>10</v>
      </c>
    </row>
    <row r="1253" spans="1:12" x14ac:dyDescent="0.2">
      <c r="A1253" s="52"/>
      <c r="B1253" s="52"/>
      <c r="C1253" s="53"/>
      <c r="D1253" s="54"/>
      <c r="E1253" s="54"/>
      <c r="F1253" s="54"/>
      <c r="G1253" s="54"/>
      <c r="H1253" s="54"/>
      <c r="I1253" s="54"/>
      <c r="J1253" s="31"/>
      <c r="K1253" s="31"/>
      <c r="L1253" s="28"/>
    </row>
    <row r="1254" spans="1:12" x14ac:dyDescent="0.2">
      <c r="A1254" s="52"/>
      <c r="B1254" s="52"/>
      <c r="C1254" s="53"/>
      <c r="D1254" s="54"/>
      <c r="E1254" s="54"/>
      <c r="F1254" s="54"/>
      <c r="G1254" s="54"/>
      <c r="H1254" s="54"/>
      <c r="I1254" s="54"/>
      <c r="J1254" s="31"/>
      <c r="K1254" s="31"/>
      <c r="L1254" s="28"/>
    </row>
    <row r="1255" spans="1:12" x14ac:dyDescent="0.2">
      <c r="A1255" s="52"/>
      <c r="B1255" s="52"/>
      <c r="C1255" s="54"/>
      <c r="D1255" s="54"/>
      <c r="E1255" s="54"/>
      <c r="F1255" s="54"/>
      <c r="G1255" s="54"/>
      <c r="H1255" s="54"/>
      <c r="I1255" s="54"/>
      <c r="J1255" s="31"/>
      <c r="K1255" s="31"/>
      <c r="L1255" s="28"/>
    </row>
    <row r="1256" spans="1:12" x14ac:dyDescent="0.2">
      <c r="A1256" s="55" t="s">
        <v>16</v>
      </c>
      <c r="B1256" s="56"/>
      <c r="C1256" s="56"/>
      <c r="D1256" s="56"/>
      <c r="E1256" s="56"/>
      <c r="F1256" s="56"/>
      <c r="G1256" s="56"/>
      <c r="H1256" s="56"/>
      <c r="I1256" s="57"/>
      <c r="J1256" s="36">
        <f t="shared" ref="J1256:L1256" si="356">SUM(J1253:J1255)</f>
        <v>0</v>
      </c>
      <c r="K1256" s="36">
        <f t="shared" si="356"/>
        <v>0</v>
      </c>
      <c r="L1256" s="36">
        <f t="shared" si="356"/>
        <v>0</v>
      </c>
    </row>
    <row r="1257" spans="1:12" x14ac:dyDescent="0.2">
      <c r="A1257" s="27">
        <v>195</v>
      </c>
      <c r="B1257" s="28"/>
      <c r="C1257" s="50" t="s">
        <v>422</v>
      </c>
      <c r="D1257" s="51" t="s">
        <v>456</v>
      </c>
      <c r="E1257" s="30" t="s">
        <v>419</v>
      </c>
      <c r="F1257" s="31"/>
      <c r="G1257" s="31"/>
      <c r="H1257" s="31" t="s">
        <v>14</v>
      </c>
      <c r="I1257" s="31">
        <v>1</v>
      </c>
      <c r="J1257" s="32">
        <f t="shared" ref="J1257:K1257" si="357">+J1262</f>
        <v>0</v>
      </c>
      <c r="K1257" s="33">
        <f t="shared" si="357"/>
        <v>0</v>
      </c>
      <c r="L1257" s="37">
        <f>+I1257+J1257-K1257</f>
        <v>1</v>
      </c>
    </row>
    <row r="1258" spans="1:12" x14ac:dyDescent="0.2">
      <c r="A1258" s="58" t="s">
        <v>15</v>
      </c>
      <c r="B1258" s="58"/>
      <c r="C1258" s="59" t="s">
        <v>3</v>
      </c>
      <c r="D1258" s="59"/>
      <c r="E1258" s="59"/>
      <c r="F1258" s="59"/>
      <c r="G1258" s="59"/>
      <c r="H1258" s="59"/>
      <c r="I1258" s="59"/>
      <c r="J1258" s="35" t="s">
        <v>8</v>
      </c>
      <c r="K1258" s="35" t="s">
        <v>9</v>
      </c>
      <c r="L1258" s="35" t="s">
        <v>10</v>
      </c>
    </row>
    <row r="1259" spans="1:12" x14ac:dyDescent="0.2">
      <c r="A1259" s="52"/>
      <c r="B1259" s="52"/>
      <c r="C1259" s="53"/>
      <c r="D1259" s="54"/>
      <c r="E1259" s="54"/>
      <c r="F1259" s="54"/>
      <c r="G1259" s="54"/>
      <c r="H1259" s="54"/>
      <c r="I1259" s="54"/>
      <c r="J1259" s="31"/>
      <c r="K1259" s="31"/>
      <c r="L1259" s="28"/>
    </row>
    <row r="1260" spans="1:12" x14ac:dyDescent="0.2">
      <c r="A1260" s="52"/>
      <c r="B1260" s="52"/>
      <c r="C1260" s="53"/>
      <c r="D1260" s="54"/>
      <c r="E1260" s="54"/>
      <c r="F1260" s="54"/>
      <c r="G1260" s="54"/>
      <c r="H1260" s="54"/>
      <c r="I1260" s="54"/>
      <c r="J1260" s="31"/>
      <c r="K1260" s="31"/>
      <c r="L1260" s="28"/>
    </row>
    <row r="1261" spans="1:12" x14ac:dyDescent="0.2">
      <c r="A1261" s="52"/>
      <c r="B1261" s="52"/>
      <c r="C1261" s="54"/>
      <c r="D1261" s="54"/>
      <c r="E1261" s="54"/>
      <c r="F1261" s="54"/>
      <c r="G1261" s="54"/>
      <c r="H1261" s="54"/>
      <c r="I1261" s="54"/>
      <c r="J1261" s="31"/>
      <c r="K1261" s="31"/>
      <c r="L1261" s="28"/>
    </row>
    <row r="1262" spans="1:12" x14ac:dyDescent="0.2">
      <c r="A1262" s="55" t="s">
        <v>16</v>
      </c>
      <c r="B1262" s="56"/>
      <c r="C1262" s="56"/>
      <c r="D1262" s="56"/>
      <c r="E1262" s="56"/>
      <c r="F1262" s="56"/>
      <c r="G1262" s="56"/>
      <c r="H1262" s="56"/>
      <c r="I1262" s="57"/>
      <c r="J1262" s="36">
        <f t="shared" ref="J1262:L1262" si="358">SUM(J1259:J1261)</f>
        <v>0</v>
      </c>
      <c r="K1262" s="36">
        <f t="shared" si="358"/>
        <v>0</v>
      </c>
      <c r="L1262" s="36">
        <f t="shared" si="358"/>
        <v>0</v>
      </c>
    </row>
    <row r="1263" spans="1:12" x14ac:dyDescent="0.2">
      <c r="A1263" s="27">
        <v>196</v>
      </c>
      <c r="B1263" s="28"/>
      <c r="C1263" s="50" t="s">
        <v>422</v>
      </c>
      <c r="D1263" s="51" t="s">
        <v>457</v>
      </c>
      <c r="E1263" s="30" t="s">
        <v>419</v>
      </c>
      <c r="F1263" s="31"/>
      <c r="G1263" s="31"/>
      <c r="H1263" s="31" t="s">
        <v>14</v>
      </c>
      <c r="I1263" s="31">
        <v>2</v>
      </c>
      <c r="J1263" s="32">
        <f t="shared" ref="J1263:K1263" si="359">+J1268</f>
        <v>0</v>
      </c>
      <c r="K1263" s="33">
        <f t="shared" si="359"/>
        <v>0</v>
      </c>
      <c r="L1263" s="37">
        <f>+I1263+J1263-K1263</f>
        <v>2</v>
      </c>
    </row>
    <row r="1264" spans="1:12" x14ac:dyDescent="0.2">
      <c r="A1264" s="58" t="s">
        <v>15</v>
      </c>
      <c r="B1264" s="58"/>
      <c r="C1264" s="59" t="s">
        <v>3</v>
      </c>
      <c r="D1264" s="59"/>
      <c r="E1264" s="59"/>
      <c r="F1264" s="59"/>
      <c r="G1264" s="59"/>
      <c r="H1264" s="59"/>
      <c r="I1264" s="59"/>
      <c r="J1264" s="35" t="s">
        <v>8</v>
      </c>
      <c r="K1264" s="35" t="s">
        <v>9</v>
      </c>
      <c r="L1264" s="35" t="s">
        <v>10</v>
      </c>
    </row>
    <row r="1265" spans="1:12" x14ac:dyDescent="0.2">
      <c r="A1265" s="52"/>
      <c r="B1265" s="52"/>
      <c r="C1265" s="53"/>
      <c r="D1265" s="54"/>
      <c r="E1265" s="54"/>
      <c r="F1265" s="54"/>
      <c r="G1265" s="54"/>
      <c r="H1265" s="54"/>
      <c r="I1265" s="54"/>
      <c r="J1265" s="31"/>
      <c r="K1265" s="31"/>
      <c r="L1265" s="28"/>
    </row>
    <row r="1266" spans="1:12" x14ac:dyDescent="0.2">
      <c r="A1266" s="52"/>
      <c r="B1266" s="52"/>
      <c r="C1266" s="53"/>
      <c r="D1266" s="54"/>
      <c r="E1266" s="54"/>
      <c r="F1266" s="54"/>
      <c r="G1266" s="54"/>
      <c r="H1266" s="54"/>
      <c r="I1266" s="54"/>
      <c r="J1266" s="31"/>
      <c r="K1266" s="31"/>
      <c r="L1266" s="28"/>
    </row>
    <row r="1267" spans="1:12" x14ac:dyDescent="0.2">
      <c r="A1267" s="52"/>
      <c r="B1267" s="52"/>
      <c r="C1267" s="54"/>
      <c r="D1267" s="54"/>
      <c r="E1267" s="54"/>
      <c r="F1267" s="54"/>
      <c r="G1267" s="54"/>
      <c r="H1267" s="54"/>
      <c r="I1267" s="54"/>
      <c r="J1267" s="31"/>
      <c r="K1267" s="31"/>
      <c r="L1267" s="28"/>
    </row>
    <row r="1268" spans="1:12" x14ac:dyDescent="0.2">
      <c r="A1268" s="55" t="s">
        <v>16</v>
      </c>
      <c r="B1268" s="56"/>
      <c r="C1268" s="56"/>
      <c r="D1268" s="56"/>
      <c r="E1268" s="56"/>
      <c r="F1268" s="56"/>
      <c r="G1268" s="56"/>
      <c r="H1268" s="56"/>
      <c r="I1268" s="57"/>
      <c r="J1268" s="36">
        <f t="shared" ref="J1268:L1268" si="360">SUM(J1265:J1267)</f>
        <v>0</v>
      </c>
      <c r="K1268" s="36">
        <f t="shared" si="360"/>
        <v>0</v>
      </c>
      <c r="L1268" s="36">
        <f t="shared" si="360"/>
        <v>0</v>
      </c>
    </row>
    <row r="1269" spans="1:12" x14ac:dyDescent="0.2">
      <c r="A1269" s="27">
        <v>197</v>
      </c>
      <c r="B1269" s="28"/>
      <c r="C1269" s="50" t="s">
        <v>422</v>
      </c>
      <c r="D1269" s="51" t="s">
        <v>461</v>
      </c>
      <c r="E1269" s="30" t="s">
        <v>419</v>
      </c>
      <c r="F1269" s="31"/>
      <c r="G1269" s="31"/>
      <c r="H1269" s="31" t="s">
        <v>14</v>
      </c>
      <c r="I1269" s="31"/>
      <c r="J1269" s="32">
        <f t="shared" ref="J1269:K1269" si="361">+J1274</f>
        <v>2</v>
      </c>
      <c r="K1269" s="33">
        <f t="shared" si="361"/>
        <v>0</v>
      </c>
      <c r="L1269" s="37">
        <f>+I1269+J1269-K1269</f>
        <v>2</v>
      </c>
    </row>
    <row r="1270" spans="1:12" x14ac:dyDescent="0.2">
      <c r="A1270" s="58" t="s">
        <v>15</v>
      </c>
      <c r="B1270" s="58"/>
      <c r="C1270" s="59" t="s">
        <v>3</v>
      </c>
      <c r="D1270" s="59"/>
      <c r="E1270" s="59"/>
      <c r="F1270" s="59"/>
      <c r="G1270" s="59"/>
      <c r="H1270" s="59"/>
      <c r="I1270" s="59"/>
      <c r="J1270" s="35" t="s">
        <v>8</v>
      </c>
      <c r="K1270" s="35" t="s">
        <v>9</v>
      </c>
      <c r="L1270" s="35" t="s">
        <v>10</v>
      </c>
    </row>
    <row r="1271" spans="1:12" x14ac:dyDescent="0.2">
      <c r="A1271" s="52"/>
      <c r="B1271" s="52"/>
      <c r="C1271" s="53" t="s">
        <v>462</v>
      </c>
      <c r="D1271" s="54"/>
      <c r="E1271" s="54"/>
      <c r="F1271" s="54"/>
      <c r="G1271" s="54"/>
      <c r="H1271" s="54"/>
      <c r="I1271" s="54"/>
      <c r="J1271" s="31">
        <v>1</v>
      </c>
      <c r="K1271" s="31"/>
      <c r="L1271" s="28"/>
    </row>
    <row r="1272" spans="1:12" x14ac:dyDescent="0.2">
      <c r="A1272" s="52"/>
      <c r="B1272" s="52"/>
      <c r="C1272" s="53" t="s">
        <v>463</v>
      </c>
      <c r="D1272" s="54"/>
      <c r="E1272" s="54"/>
      <c r="F1272" s="54"/>
      <c r="G1272" s="54"/>
      <c r="H1272" s="54"/>
      <c r="I1272" s="54"/>
      <c r="J1272" s="31">
        <v>1</v>
      </c>
      <c r="K1272" s="31"/>
      <c r="L1272" s="28"/>
    </row>
    <row r="1273" spans="1:12" x14ac:dyDescent="0.2">
      <c r="A1273" s="52"/>
      <c r="B1273" s="52"/>
      <c r="C1273" s="54"/>
      <c r="D1273" s="54"/>
      <c r="E1273" s="54"/>
      <c r="F1273" s="54"/>
      <c r="G1273" s="54"/>
      <c r="H1273" s="54"/>
      <c r="I1273" s="54"/>
      <c r="J1273" s="31"/>
      <c r="K1273" s="31"/>
      <c r="L1273" s="28"/>
    </row>
    <row r="1274" spans="1:12" x14ac:dyDescent="0.2">
      <c r="A1274" s="55" t="s">
        <v>16</v>
      </c>
      <c r="B1274" s="56"/>
      <c r="C1274" s="56"/>
      <c r="D1274" s="56"/>
      <c r="E1274" s="56"/>
      <c r="F1274" s="56"/>
      <c r="G1274" s="56"/>
      <c r="H1274" s="56"/>
      <c r="I1274" s="57"/>
      <c r="J1274" s="36">
        <f t="shared" ref="J1274:L1274" si="362">SUM(J1271:J1273)</f>
        <v>2</v>
      </c>
      <c r="K1274" s="36">
        <f t="shared" si="362"/>
        <v>0</v>
      </c>
      <c r="L1274" s="36">
        <f t="shared" si="362"/>
        <v>0</v>
      </c>
    </row>
    <row r="1275" spans="1:12" x14ac:dyDescent="0.2">
      <c r="A1275" s="27">
        <v>198</v>
      </c>
      <c r="B1275" s="28"/>
      <c r="C1275" s="50" t="s">
        <v>422</v>
      </c>
      <c r="D1275" s="51" t="s">
        <v>464</v>
      </c>
      <c r="E1275" s="30" t="s">
        <v>419</v>
      </c>
      <c r="F1275" s="31"/>
      <c r="G1275" s="31"/>
      <c r="H1275" s="31" t="s">
        <v>14</v>
      </c>
      <c r="I1275" s="31"/>
      <c r="J1275" s="32">
        <f t="shared" ref="J1275:K1275" si="363">+J1280</f>
        <v>3</v>
      </c>
      <c r="K1275" s="33">
        <f t="shared" si="363"/>
        <v>0</v>
      </c>
      <c r="L1275" s="37">
        <f>+I1275+J1275-K1275</f>
        <v>3</v>
      </c>
    </row>
    <row r="1276" spans="1:12" x14ac:dyDescent="0.2">
      <c r="A1276" s="58" t="s">
        <v>15</v>
      </c>
      <c r="B1276" s="58"/>
      <c r="C1276" s="59" t="s">
        <v>3</v>
      </c>
      <c r="D1276" s="59"/>
      <c r="E1276" s="59"/>
      <c r="F1276" s="59"/>
      <c r="G1276" s="59"/>
      <c r="H1276" s="59"/>
      <c r="I1276" s="59"/>
      <c r="J1276" s="35" t="s">
        <v>8</v>
      </c>
      <c r="K1276" s="35" t="s">
        <v>9</v>
      </c>
      <c r="L1276" s="35" t="s">
        <v>10</v>
      </c>
    </row>
    <row r="1277" spans="1:12" x14ac:dyDescent="0.2">
      <c r="A1277" s="52"/>
      <c r="B1277" s="52"/>
      <c r="C1277" s="53">
        <v>5020</v>
      </c>
      <c r="D1277" s="54"/>
      <c r="E1277" s="54"/>
      <c r="F1277" s="54"/>
      <c r="G1277" s="54"/>
      <c r="H1277" s="54"/>
      <c r="I1277" s="54"/>
      <c r="J1277" s="31">
        <v>1</v>
      </c>
      <c r="K1277" s="31"/>
      <c r="L1277" s="28"/>
    </row>
    <row r="1278" spans="1:12" x14ac:dyDescent="0.2">
      <c r="A1278" s="52"/>
      <c r="B1278" s="52"/>
      <c r="C1278" s="53">
        <v>744</v>
      </c>
      <c r="D1278" s="54"/>
      <c r="E1278" s="54"/>
      <c r="F1278" s="54"/>
      <c r="G1278" s="54"/>
      <c r="H1278" s="54"/>
      <c r="I1278" s="54"/>
      <c r="J1278" s="31">
        <v>1</v>
      </c>
      <c r="K1278" s="31"/>
      <c r="L1278" s="28"/>
    </row>
    <row r="1279" spans="1:12" x14ac:dyDescent="0.2">
      <c r="A1279" s="52"/>
      <c r="B1279" s="52"/>
      <c r="C1279" s="54">
        <v>8025</v>
      </c>
      <c r="D1279" s="54"/>
      <c r="E1279" s="54"/>
      <c r="F1279" s="54"/>
      <c r="G1279" s="54"/>
      <c r="H1279" s="54"/>
      <c r="I1279" s="54"/>
      <c r="J1279" s="31">
        <v>1</v>
      </c>
      <c r="K1279" s="31"/>
      <c r="L1279" s="28"/>
    </row>
    <row r="1280" spans="1:12" x14ac:dyDescent="0.2">
      <c r="A1280" s="55" t="s">
        <v>16</v>
      </c>
      <c r="B1280" s="56"/>
      <c r="C1280" s="56"/>
      <c r="D1280" s="56"/>
      <c r="E1280" s="56"/>
      <c r="F1280" s="56"/>
      <c r="G1280" s="56"/>
      <c r="H1280" s="56"/>
      <c r="I1280" s="57"/>
      <c r="J1280" s="36">
        <f t="shared" ref="J1280:L1280" si="364">SUM(J1277:J1279)</f>
        <v>3</v>
      </c>
      <c r="K1280" s="36">
        <f t="shared" si="364"/>
        <v>0</v>
      </c>
      <c r="L1280" s="36">
        <f t="shared" si="364"/>
        <v>0</v>
      </c>
    </row>
    <row r="1281" spans="1:12" x14ac:dyDescent="0.2">
      <c r="A1281" s="27">
        <v>199</v>
      </c>
      <c r="B1281" s="28"/>
      <c r="C1281" s="50" t="s">
        <v>422</v>
      </c>
      <c r="D1281" s="51" t="s">
        <v>465</v>
      </c>
      <c r="E1281" s="30" t="s">
        <v>419</v>
      </c>
      <c r="F1281" s="31"/>
      <c r="G1281" s="31"/>
      <c r="H1281" s="31" t="s">
        <v>14</v>
      </c>
      <c r="I1281" s="31">
        <v>1</v>
      </c>
      <c r="J1281" s="32">
        <f t="shared" ref="J1281:K1281" si="365">+J1286</f>
        <v>0</v>
      </c>
      <c r="K1281" s="33">
        <f t="shared" si="365"/>
        <v>0</v>
      </c>
      <c r="L1281" s="37">
        <f>+I1281+J1281-K1281</f>
        <v>1</v>
      </c>
    </row>
    <row r="1282" spans="1:12" x14ac:dyDescent="0.2">
      <c r="A1282" s="58" t="s">
        <v>15</v>
      </c>
      <c r="B1282" s="58"/>
      <c r="C1282" s="59" t="s">
        <v>3</v>
      </c>
      <c r="D1282" s="59"/>
      <c r="E1282" s="59"/>
      <c r="F1282" s="59"/>
      <c r="G1282" s="59"/>
      <c r="H1282" s="59"/>
      <c r="I1282" s="59"/>
      <c r="J1282" s="35" t="s">
        <v>8</v>
      </c>
      <c r="K1282" s="35" t="s">
        <v>9</v>
      </c>
      <c r="L1282" s="35" t="s">
        <v>10</v>
      </c>
    </row>
    <row r="1283" spans="1:12" x14ac:dyDescent="0.2">
      <c r="A1283" s="52"/>
      <c r="B1283" s="52"/>
      <c r="C1283" s="53"/>
      <c r="D1283" s="54"/>
      <c r="E1283" s="54"/>
      <c r="F1283" s="54"/>
      <c r="G1283" s="54"/>
      <c r="H1283" s="54"/>
      <c r="I1283" s="54"/>
      <c r="J1283" s="31"/>
      <c r="K1283" s="31"/>
      <c r="L1283" s="28"/>
    </row>
    <row r="1284" spans="1:12" x14ac:dyDescent="0.2">
      <c r="A1284" s="52"/>
      <c r="B1284" s="52"/>
      <c r="C1284" s="53"/>
      <c r="D1284" s="54"/>
      <c r="E1284" s="54"/>
      <c r="F1284" s="54"/>
      <c r="G1284" s="54"/>
      <c r="H1284" s="54"/>
      <c r="I1284" s="54"/>
      <c r="J1284" s="31"/>
      <c r="K1284" s="31"/>
      <c r="L1284" s="28"/>
    </row>
    <row r="1285" spans="1:12" x14ac:dyDescent="0.2">
      <c r="A1285" s="52"/>
      <c r="B1285" s="52"/>
      <c r="C1285" s="54"/>
      <c r="D1285" s="54"/>
      <c r="E1285" s="54"/>
      <c r="F1285" s="54"/>
      <c r="G1285" s="54"/>
      <c r="H1285" s="54"/>
      <c r="I1285" s="54"/>
      <c r="J1285" s="31"/>
      <c r="K1285" s="31"/>
      <c r="L1285" s="28"/>
    </row>
    <row r="1286" spans="1:12" x14ac:dyDescent="0.2">
      <c r="A1286" s="55" t="s">
        <v>16</v>
      </c>
      <c r="B1286" s="56"/>
      <c r="C1286" s="56"/>
      <c r="D1286" s="56"/>
      <c r="E1286" s="56"/>
      <c r="F1286" s="56"/>
      <c r="G1286" s="56"/>
      <c r="H1286" s="56"/>
      <c r="I1286" s="57"/>
      <c r="J1286" s="36">
        <f t="shared" ref="J1286:L1286" si="366">SUM(J1283:J1285)</f>
        <v>0</v>
      </c>
      <c r="K1286" s="36">
        <f t="shared" si="366"/>
        <v>0</v>
      </c>
      <c r="L1286" s="36">
        <f t="shared" si="366"/>
        <v>0</v>
      </c>
    </row>
    <row r="1287" spans="1:12" x14ac:dyDescent="0.2">
      <c r="A1287" s="27">
        <v>200</v>
      </c>
      <c r="B1287" s="28"/>
      <c r="C1287" s="50" t="s">
        <v>422</v>
      </c>
      <c r="D1287" s="51" t="s">
        <v>467</v>
      </c>
      <c r="E1287" s="30" t="s">
        <v>466</v>
      </c>
      <c r="F1287" s="31"/>
      <c r="G1287" s="31"/>
      <c r="H1287" s="31" t="s">
        <v>14</v>
      </c>
      <c r="I1287" s="31">
        <v>2</v>
      </c>
      <c r="J1287" s="32">
        <f t="shared" ref="J1287:K1287" si="367">+J1292</f>
        <v>0</v>
      </c>
      <c r="K1287" s="33">
        <f t="shared" si="367"/>
        <v>0</v>
      </c>
      <c r="L1287" s="37">
        <f>+I1287+J1287-K1287</f>
        <v>2</v>
      </c>
    </row>
    <row r="1288" spans="1:12" x14ac:dyDescent="0.2">
      <c r="A1288" s="58" t="s">
        <v>15</v>
      </c>
      <c r="B1288" s="58"/>
      <c r="C1288" s="59" t="s">
        <v>3</v>
      </c>
      <c r="D1288" s="59"/>
      <c r="E1288" s="59"/>
      <c r="F1288" s="59"/>
      <c r="G1288" s="59"/>
      <c r="H1288" s="59"/>
      <c r="I1288" s="59"/>
      <c r="J1288" s="35" t="s">
        <v>8</v>
      </c>
      <c r="K1288" s="35" t="s">
        <v>9</v>
      </c>
      <c r="L1288" s="35" t="s">
        <v>10</v>
      </c>
    </row>
    <row r="1289" spans="1:12" x14ac:dyDescent="0.2">
      <c r="A1289" s="52"/>
      <c r="B1289" s="52"/>
      <c r="C1289" s="53"/>
      <c r="D1289" s="54"/>
      <c r="E1289" s="54"/>
      <c r="F1289" s="54"/>
      <c r="G1289" s="54"/>
      <c r="H1289" s="54"/>
      <c r="I1289" s="54"/>
      <c r="J1289" s="31"/>
      <c r="K1289" s="31"/>
      <c r="L1289" s="28"/>
    </row>
    <row r="1290" spans="1:12" x14ac:dyDescent="0.2">
      <c r="A1290" s="52"/>
      <c r="B1290" s="52"/>
      <c r="C1290" s="53"/>
      <c r="D1290" s="54"/>
      <c r="E1290" s="54"/>
      <c r="F1290" s="54"/>
      <c r="G1290" s="54"/>
      <c r="H1290" s="54"/>
      <c r="I1290" s="54"/>
      <c r="J1290" s="31"/>
      <c r="K1290" s="31"/>
      <c r="L1290" s="28"/>
    </row>
    <row r="1291" spans="1:12" x14ac:dyDescent="0.2">
      <c r="A1291" s="52"/>
      <c r="B1291" s="52"/>
      <c r="C1291" s="54"/>
      <c r="D1291" s="54"/>
      <c r="E1291" s="54"/>
      <c r="F1291" s="54"/>
      <c r="G1291" s="54"/>
      <c r="H1291" s="54"/>
      <c r="I1291" s="54"/>
      <c r="J1291" s="31"/>
      <c r="K1291" s="31"/>
      <c r="L1291" s="28"/>
    </row>
    <row r="1292" spans="1:12" x14ac:dyDescent="0.2">
      <c r="A1292" s="55" t="s">
        <v>16</v>
      </c>
      <c r="B1292" s="56"/>
      <c r="C1292" s="56"/>
      <c r="D1292" s="56"/>
      <c r="E1292" s="56"/>
      <c r="F1292" s="56"/>
      <c r="G1292" s="56"/>
      <c r="H1292" s="56"/>
      <c r="I1292" s="57"/>
      <c r="J1292" s="36">
        <f t="shared" ref="J1292:L1292" si="368">SUM(J1289:J1291)</f>
        <v>0</v>
      </c>
      <c r="K1292" s="36">
        <f t="shared" si="368"/>
        <v>0</v>
      </c>
      <c r="L1292" s="36">
        <f t="shared" si="368"/>
        <v>0</v>
      </c>
    </row>
    <row r="1293" spans="1:12" x14ac:dyDescent="0.2">
      <c r="A1293" s="27">
        <v>201</v>
      </c>
      <c r="B1293" s="28"/>
      <c r="C1293" s="50" t="s">
        <v>422</v>
      </c>
      <c r="D1293" s="51" t="s">
        <v>468</v>
      </c>
      <c r="E1293" s="30" t="s">
        <v>466</v>
      </c>
      <c r="F1293" s="31"/>
      <c r="G1293" s="31"/>
      <c r="H1293" s="31" t="s">
        <v>14</v>
      </c>
      <c r="I1293" s="31">
        <v>2</v>
      </c>
      <c r="J1293" s="32">
        <f t="shared" ref="J1293:K1293" si="369">+J1298</f>
        <v>0</v>
      </c>
      <c r="K1293" s="33">
        <f t="shared" si="369"/>
        <v>0</v>
      </c>
      <c r="L1293" s="37">
        <f>+I1293+J1293-K1293</f>
        <v>2</v>
      </c>
    </row>
    <row r="1294" spans="1:12" x14ac:dyDescent="0.2">
      <c r="A1294" s="58" t="s">
        <v>15</v>
      </c>
      <c r="B1294" s="58"/>
      <c r="C1294" s="59" t="s">
        <v>3</v>
      </c>
      <c r="D1294" s="59"/>
      <c r="E1294" s="59"/>
      <c r="F1294" s="59"/>
      <c r="G1294" s="59"/>
      <c r="H1294" s="59"/>
      <c r="I1294" s="59"/>
      <c r="J1294" s="35" t="s">
        <v>8</v>
      </c>
      <c r="K1294" s="35" t="s">
        <v>9</v>
      </c>
      <c r="L1294" s="35" t="s">
        <v>10</v>
      </c>
    </row>
    <row r="1295" spans="1:12" x14ac:dyDescent="0.2">
      <c r="A1295" s="52"/>
      <c r="B1295" s="52"/>
      <c r="C1295" s="53"/>
      <c r="D1295" s="54"/>
      <c r="E1295" s="54"/>
      <c r="F1295" s="54"/>
      <c r="G1295" s="54"/>
      <c r="H1295" s="54"/>
      <c r="I1295" s="54"/>
      <c r="J1295" s="31"/>
      <c r="K1295" s="31"/>
      <c r="L1295" s="28"/>
    </row>
    <row r="1296" spans="1:12" x14ac:dyDescent="0.2">
      <c r="A1296" s="52"/>
      <c r="B1296" s="52"/>
      <c r="C1296" s="53"/>
      <c r="D1296" s="54"/>
      <c r="E1296" s="54"/>
      <c r="F1296" s="54"/>
      <c r="G1296" s="54"/>
      <c r="H1296" s="54"/>
      <c r="I1296" s="54"/>
      <c r="J1296" s="31"/>
      <c r="K1296" s="31"/>
      <c r="L1296" s="28"/>
    </row>
    <row r="1297" spans="1:12" x14ac:dyDescent="0.2">
      <c r="A1297" s="52"/>
      <c r="B1297" s="52"/>
      <c r="C1297" s="54"/>
      <c r="D1297" s="54"/>
      <c r="E1297" s="54"/>
      <c r="F1297" s="54"/>
      <c r="G1297" s="54"/>
      <c r="H1297" s="54"/>
      <c r="I1297" s="54"/>
      <c r="J1297" s="31"/>
      <c r="K1297" s="31"/>
      <c r="L1297" s="28"/>
    </row>
    <row r="1298" spans="1:12" x14ac:dyDescent="0.2">
      <c r="A1298" s="55" t="s">
        <v>16</v>
      </c>
      <c r="B1298" s="56"/>
      <c r="C1298" s="56"/>
      <c r="D1298" s="56"/>
      <c r="E1298" s="56"/>
      <c r="F1298" s="56"/>
      <c r="G1298" s="56"/>
      <c r="H1298" s="56"/>
      <c r="I1298" s="57"/>
      <c r="J1298" s="36">
        <f t="shared" ref="J1298:L1298" si="370">SUM(J1295:J1297)</f>
        <v>0</v>
      </c>
      <c r="K1298" s="36">
        <f t="shared" si="370"/>
        <v>0</v>
      </c>
      <c r="L1298" s="36">
        <f t="shared" si="370"/>
        <v>0</v>
      </c>
    </row>
    <row r="1299" spans="1:12" x14ac:dyDescent="0.2">
      <c r="A1299" s="27">
        <v>202</v>
      </c>
      <c r="B1299" s="28"/>
      <c r="C1299" s="50" t="s">
        <v>422</v>
      </c>
      <c r="D1299" s="51" t="s">
        <v>469</v>
      </c>
      <c r="E1299" s="30" t="s">
        <v>466</v>
      </c>
      <c r="F1299" s="31"/>
      <c r="G1299" s="31"/>
      <c r="H1299" s="31" t="s">
        <v>14</v>
      </c>
      <c r="I1299" s="31">
        <v>1</v>
      </c>
      <c r="J1299" s="32">
        <f t="shared" ref="J1299:K1299" si="371">+J1304</f>
        <v>0</v>
      </c>
      <c r="K1299" s="33">
        <f t="shared" si="371"/>
        <v>0</v>
      </c>
      <c r="L1299" s="37">
        <f>+I1299+J1299-K1299</f>
        <v>1</v>
      </c>
    </row>
    <row r="1300" spans="1:12" x14ac:dyDescent="0.2">
      <c r="A1300" s="58" t="s">
        <v>15</v>
      </c>
      <c r="B1300" s="58"/>
      <c r="C1300" s="59" t="s">
        <v>3</v>
      </c>
      <c r="D1300" s="59"/>
      <c r="E1300" s="59"/>
      <c r="F1300" s="59"/>
      <c r="G1300" s="59"/>
      <c r="H1300" s="59"/>
      <c r="I1300" s="59"/>
      <c r="J1300" s="35" t="s">
        <v>8</v>
      </c>
      <c r="K1300" s="35" t="s">
        <v>9</v>
      </c>
      <c r="L1300" s="35" t="s">
        <v>10</v>
      </c>
    </row>
    <row r="1301" spans="1:12" x14ac:dyDescent="0.2">
      <c r="A1301" s="52"/>
      <c r="B1301" s="52"/>
      <c r="C1301" s="53"/>
      <c r="D1301" s="54"/>
      <c r="E1301" s="54"/>
      <c r="F1301" s="54"/>
      <c r="G1301" s="54"/>
      <c r="H1301" s="54"/>
      <c r="I1301" s="54"/>
      <c r="J1301" s="31"/>
      <c r="K1301" s="31"/>
      <c r="L1301" s="28"/>
    </row>
    <row r="1302" spans="1:12" x14ac:dyDescent="0.2">
      <c r="A1302" s="52"/>
      <c r="B1302" s="52"/>
      <c r="C1302" s="53"/>
      <c r="D1302" s="54"/>
      <c r="E1302" s="54"/>
      <c r="F1302" s="54"/>
      <c r="G1302" s="54"/>
      <c r="H1302" s="54"/>
      <c r="I1302" s="54"/>
      <c r="J1302" s="31"/>
      <c r="K1302" s="31"/>
      <c r="L1302" s="28"/>
    </row>
    <row r="1303" spans="1:12" x14ac:dyDescent="0.2">
      <c r="A1303" s="52"/>
      <c r="B1303" s="52"/>
      <c r="C1303" s="54"/>
      <c r="D1303" s="54"/>
      <c r="E1303" s="54"/>
      <c r="F1303" s="54"/>
      <c r="G1303" s="54"/>
      <c r="H1303" s="54"/>
      <c r="I1303" s="54"/>
      <c r="J1303" s="31"/>
      <c r="K1303" s="31"/>
      <c r="L1303" s="28"/>
    </row>
    <row r="1304" spans="1:12" x14ac:dyDescent="0.2">
      <c r="A1304" s="55" t="s">
        <v>16</v>
      </c>
      <c r="B1304" s="56"/>
      <c r="C1304" s="56"/>
      <c r="D1304" s="56"/>
      <c r="E1304" s="56"/>
      <c r="F1304" s="56"/>
      <c r="G1304" s="56"/>
      <c r="H1304" s="56"/>
      <c r="I1304" s="57"/>
      <c r="J1304" s="36">
        <f t="shared" ref="J1304:L1304" si="372">SUM(J1301:J1303)</f>
        <v>0</v>
      </c>
      <c r="K1304" s="36">
        <f t="shared" si="372"/>
        <v>0</v>
      </c>
      <c r="L1304" s="36">
        <f t="shared" si="372"/>
        <v>0</v>
      </c>
    </row>
    <row r="1305" spans="1:12" x14ac:dyDescent="0.2">
      <c r="A1305" s="27">
        <v>203</v>
      </c>
      <c r="B1305" s="28"/>
      <c r="C1305" s="50" t="s">
        <v>422</v>
      </c>
      <c r="D1305" s="51" t="s">
        <v>470</v>
      </c>
      <c r="E1305" s="30" t="s">
        <v>466</v>
      </c>
      <c r="F1305" s="31"/>
      <c r="G1305" s="31"/>
      <c r="H1305" s="31" t="s">
        <v>14</v>
      </c>
      <c r="I1305" s="31">
        <v>1</v>
      </c>
      <c r="J1305" s="32">
        <f t="shared" ref="J1305:K1305" si="373">+J1310</f>
        <v>0</v>
      </c>
      <c r="K1305" s="33">
        <f t="shared" si="373"/>
        <v>0</v>
      </c>
      <c r="L1305" s="37">
        <f>+I1305+J1305-K1305</f>
        <v>1</v>
      </c>
    </row>
    <row r="1306" spans="1:12" x14ac:dyDescent="0.2">
      <c r="A1306" s="58" t="s">
        <v>15</v>
      </c>
      <c r="B1306" s="58"/>
      <c r="C1306" s="59" t="s">
        <v>3</v>
      </c>
      <c r="D1306" s="59"/>
      <c r="E1306" s="59"/>
      <c r="F1306" s="59"/>
      <c r="G1306" s="59"/>
      <c r="H1306" s="59"/>
      <c r="I1306" s="59"/>
      <c r="J1306" s="35" t="s">
        <v>8</v>
      </c>
      <c r="K1306" s="35" t="s">
        <v>9</v>
      </c>
      <c r="L1306" s="35" t="s">
        <v>10</v>
      </c>
    </row>
    <row r="1307" spans="1:12" x14ac:dyDescent="0.2">
      <c r="A1307" s="52"/>
      <c r="B1307" s="52"/>
      <c r="C1307" s="53"/>
      <c r="D1307" s="54"/>
      <c r="E1307" s="54"/>
      <c r="F1307" s="54"/>
      <c r="G1307" s="54"/>
      <c r="H1307" s="54"/>
      <c r="I1307" s="54"/>
      <c r="J1307" s="31"/>
      <c r="K1307" s="31"/>
      <c r="L1307" s="28"/>
    </row>
    <row r="1308" spans="1:12" x14ac:dyDescent="0.2">
      <c r="A1308" s="52"/>
      <c r="B1308" s="52"/>
      <c r="C1308" s="53"/>
      <c r="D1308" s="54"/>
      <c r="E1308" s="54"/>
      <c r="F1308" s="54"/>
      <c r="G1308" s="54"/>
      <c r="H1308" s="54"/>
      <c r="I1308" s="54"/>
      <c r="J1308" s="31"/>
      <c r="K1308" s="31"/>
      <c r="L1308" s="28"/>
    </row>
    <row r="1309" spans="1:12" x14ac:dyDescent="0.2">
      <c r="A1309" s="52"/>
      <c r="B1309" s="52"/>
      <c r="C1309" s="54"/>
      <c r="D1309" s="54"/>
      <c r="E1309" s="54"/>
      <c r="F1309" s="54"/>
      <c r="G1309" s="54"/>
      <c r="H1309" s="54"/>
      <c r="I1309" s="54"/>
      <c r="J1309" s="31"/>
      <c r="K1309" s="31"/>
      <c r="L1309" s="28"/>
    </row>
    <row r="1310" spans="1:12" x14ac:dyDescent="0.2">
      <c r="A1310" s="55" t="s">
        <v>16</v>
      </c>
      <c r="B1310" s="56"/>
      <c r="C1310" s="56"/>
      <c r="D1310" s="56"/>
      <c r="E1310" s="56"/>
      <c r="F1310" s="56"/>
      <c r="G1310" s="56"/>
      <c r="H1310" s="56"/>
      <c r="I1310" s="57"/>
      <c r="J1310" s="36">
        <f t="shared" ref="J1310:L1310" si="374">SUM(J1307:J1309)</f>
        <v>0</v>
      </c>
      <c r="K1310" s="36">
        <f t="shared" si="374"/>
        <v>0</v>
      </c>
      <c r="L1310" s="36">
        <f t="shared" si="374"/>
        <v>0</v>
      </c>
    </row>
    <row r="1311" spans="1:12" x14ac:dyDescent="0.2">
      <c r="A1311" s="27">
        <v>204</v>
      </c>
      <c r="B1311" s="28"/>
      <c r="C1311" s="50" t="s">
        <v>422</v>
      </c>
      <c r="D1311" s="51" t="s">
        <v>471</v>
      </c>
      <c r="E1311" s="30" t="s">
        <v>466</v>
      </c>
      <c r="F1311" s="31"/>
      <c r="G1311" s="31"/>
      <c r="H1311" s="31" t="s">
        <v>14</v>
      </c>
      <c r="I1311" s="31">
        <v>2</v>
      </c>
      <c r="J1311" s="32">
        <f t="shared" ref="J1311:K1311" si="375">+J1316</f>
        <v>0</v>
      </c>
      <c r="K1311" s="33">
        <f t="shared" si="375"/>
        <v>0</v>
      </c>
      <c r="L1311" s="37">
        <f>+I1311+J1311-K1311</f>
        <v>2</v>
      </c>
    </row>
    <row r="1312" spans="1:12" x14ac:dyDescent="0.2">
      <c r="A1312" s="58" t="s">
        <v>15</v>
      </c>
      <c r="B1312" s="58"/>
      <c r="C1312" s="59" t="s">
        <v>3</v>
      </c>
      <c r="D1312" s="59"/>
      <c r="E1312" s="59"/>
      <c r="F1312" s="59"/>
      <c r="G1312" s="59"/>
      <c r="H1312" s="59"/>
      <c r="I1312" s="59"/>
      <c r="J1312" s="35" t="s">
        <v>8</v>
      </c>
      <c r="K1312" s="35" t="s">
        <v>9</v>
      </c>
      <c r="L1312" s="35" t="s">
        <v>10</v>
      </c>
    </row>
    <row r="1313" spans="1:12" x14ac:dyDescent="0.2">
      <c r="A1313" s="52"/>
      <c r="B1313" s="52"/>
      <c r="C1313" s="53"/>
      <c r="D1313" s="54"/>
      <c r="E1313" s="54"/>
      <c r="F1313" s="54"/>
      <c r="G1313" s="54"/>
      <c r="H1313" s="54"/>
      <c r="I1313" s="54"/>
      <c r="J1313" s="31"/>
      <c r="K1313" s="31"/>
      <c r="L1313" s="28"/>
    </row>
    <row r="1314" spans="1:12" x14ac:dyDescent="0.2">
      <c r="A1314" s="52"/>
      <c r="B1314" s="52"/>
      <c r="C1314" s="53"/>
      <c r="D1314" s="54"/>
      <c r="E1314" s="54"/>
      <c r="F1314" s="54"/>
      <c r="G1314" s="54"/>
      <c r="H1314" s="54"/>
      <c r="I1314" s="54"/>
      <c r="J1314" s="31"/>
      <c r="K1314" s="31"/>
      <c r="L1314" s="28"/>
    </row>
    <row r="1315" spans="1:12" x14ac:dyDescent="0.2">
      <c r="A1315" s="52"/>
      <c r="B1315" s="52"/>
      <c r="C1315" s="54"/>
      <c r="D1315" s="54"/>
      <c r="E1315" s="54"/>
      <c r="F1315" s="54"/>
      <c r="G1315" s="54"/>
      <c r="H1315" s="54"/>
      <c r="I1315" s="54"/>
      <c r="J1315" s="31"/>
      <c r="K1315" s="31"/>
      <c r="L1315" s="28"/>
    </row>
    <row r="1316" spans="1:12" x14ac:dyDescent="0.2">
      <c r="A1316" s="55" t="s">
        <v>16</v>
      </c>
      <c r="B1316" s="56"/>
      <c r="C1316" s="56"/>
      <c r="D1316" s="56"/>
      <c r="E1316" s="56"/>
      <c r="F1316" s="56"/>
      <c r="G1316" s="56"/>
      <c r="H1316" s="56"/>
      <c r="I1316" s="57"/>
      <c r="J1316" s="36">
        <f t="shared" ref="J1316:L1316" si="376">SUM(J1313:J1315)</f>
        <v>0</v>
      </c>
      <c r="K1316" s="36">
        <f t="shared" si="376"/>
        <v>0</v>
      </c>
      <c r="L1316" s="36">
        <f t="shared" si="376"/>
        <v>0</v>
      </c>
    </row>
    <row r="1317" spans="1:12" x14ac:dyDescent="0.2">
      <c r="A1317" s="27">
        <v>205</v>
      </c>
      <c r="B1317" s="28"/>
      <c r="C1317" s="50" t="s">
        <v>422</v>
      </c>
      <c r="D1317" s="51" t="s">
        <v>473</v>
      </c>
      <c r="E1317" s="30" t="s">
        <v>472</v>
      </c>
      <c r="F1317" s="31"/>
      <c r="G1317" s="31"/>
      <c r="H1317" s="31" t="s">
        <v>14</v>
      </c>
      <c r="I1317" s="31">
        <v>1</v>
      </c>
      <c r="J1317" s="32">
        <f t="shared" ref="J1317:K1317" si="377">+J1322</f>
        <v>0</v>
      </c>
      <c r="K1317" s="33">
        <f t="shared" si="377"/>
        <v>0</v>
      </c>
      <c r="L1317" s="37">
        <f>+I1317+J1317-K1317</f>
        <v>1</v>
      </c>
    </row>
    <row r="1318" spans="1:12" x14ac:dyDescent="0.2">
      <c r="A1318" s="58" t="s">
        <v>15</v>
      </c>
      <c r="B1318" s="58"/>
      <c r="C1318" s="59" t="s">
        <v>3</v>
      </c>
      <c r="D1318" s="59"/>
      <c r="E1318" s="59"/>
      <c r="F1318" s="59"/>
      <c r="G1318" s="59"/>
      <c r="H1318" s="59"/>
      <c r="I1318" s="59"/>
      <c r="J1318" s="35" t="s">
        <v>8</v>
      </c>
      <c r="K1318" s="35" t="s">
        <v>9</v>
      </c>
      <c r="L1318" s="35" t="s">
        <v>10</v>
      </c>
    </row>
    <row r="1319" spans="1:12" x14ac:dyDescent="0.2">
      <c r="A1319" s="52"/>
      <c r="B1319" s="52"/>
      <c r="C1319" s="53"/>
      <c r="D1319" s="54"/>
      <c r="E1319" s="54"/>
      <c r="F1319" s="54"/>
      <c r="G1319" s="54"/>
      <c r="H1319" s="54"/>
      <c r="I1319" s="54"/>
      <c r="J1319" s="31"/>
      <c r="K1319" s="31"/>
      <c r="L1319" s="28"/>
    </row>
    <row r="1320" spans="1:12" x14ac:dyDescent="0.2">
      <c r="A1320" s="52"/>
      <c r="B1320" s="52"/>
      <c r="C1320" s="53"/>
      <c r="D1320" s="54"/>
      <c r="E1320" s="54"/>
      <c r="F1320" s="54"/>
      <c r="G1320" s="54"/>
      <c r="H1320" s="54"/>
      <c r="I1320" s="54"/>
      <c r="J1320" s="31"/>
      <c r="K1320" s="31"/>
      <c r="L1320" s="28"/>
    </row>
    <row r="1321" spans="1:12" x14ac:dyDescent="0.2">
      <c r="A1321" s="52"/>
      <c r="B1321" s="52"/>
      <c r="C1321" s="54"/>
      <c r="D1321" s="54"/>
      <c r="E1321" s="54"/>
      <c r="F1321" s="54"/>
      <c r="G1321" s="54"/>
      <c r="H1321" s="54"/>
      <c r="I1321" s="54"/>
      <c r="J1321" s="31"/>
      <c r="K1321" s="31"/>
      <c r="L1321" s="28"/>
    </row>
    <row r="1322" spans="1:12" x14ac:dyDescent="0.2">
      <c r="A1322" s="55" t="s">
        <v>16</v>
      </c>
      <c r="B1322" s="56"/>
      <c r="C1322" s="56"/>
      <c r="D1322" s="56"/>
      <c r="E1322" s="56"/>
      <c r="F1322" s="56"/>
      <c r="G1322" s="56"/>
      <c r="H1322" s="56"/>
      <c r="I1322" s="57"/>
      <c r="J1322" s="36">
        <f t="shared" ref="J1322:L1322" si="378">SUM(J1319:J1321)</f>
        <v>0</v>
      </c>
      <c r="K1322" s="36">
        <f t="shared" si="378"/>
        <v>0</v>
      </c>
      <c r="L1322" s="36">
        <f t="shared" si="378"/>
        <v>0</v>
      </c>
    </row>
    <row r="1323" spans="1:12" x14ac:dyDescent="0.2">
      <c r="A1323" s="27">
        <v>206</v>
      </c>
      <c r="B1323" s="28"/>
      <c r="C1323" s="50" t="s">
        <v>422</v>
      </c>
      <c r="D1323" s="51" t="s">
        <v>474</v>
      </c>
      <c r="E1323" s="30" t="s">
        <v>472</v>
      </c>
      <c r="F1323" s="31"/>
      <c r="G1323" s="31"/>
      <c r="H1323" s="31" t="s">
        <v>14</v>
      </c>
      <c r="I1323" s="31">
        <v>1</v>
      </c>
      <c r="J1323" s="32">
        <f t="shared" ref="J1323:K1323" si="379">+J1328</f>
        <v>0</v>
      </c>
      <c r="K1323" s="33">
        <f t="shared" si="379"/>
        <v>0</v>
      </c>
      <c r="L1323" s="37">
        <f>+I1323+J1323-K1323</f>
        <v>1</v>
      </c>
    </row>
    <row r="1324" spans="1:12" x14ac:dyDescent="0.2">
      <c r="A1324" s="58" t="s">
        <v>15</v>
      </c>
      <c r="B1324" s="58"/>
      <c r="C1324" s="59" t="s">
        <v>3</v>
      </c>
      <c r="D1324" s="59"/>
      <c r="E1324" s="59"/>
      <c r="F1324" s="59"/>
      <c r="G1324" s="59"/>
      <c r="H1324" s="59"/>
      <c r="I1324" s="59"/>
      <c r="J1324" s="35" t="s">
        <v>8</v>
      </c>
      <c r="K1324" s="35" t="s">
        <v>9</v>
      </c>
      <c r="L1324" s="35" t="s">
        <v>10</v>
      </c>
    </row>
    <row r="1325" spans="1:12" x14ac:dyDescent="0.2">
      <c r="A1325" s="52"/>
      <c r="B1325" s="52"/>
      <c r="C1325" s="53"/>
      <c r="D1325" s="54"/>
      <c r="E1325" s="54"/>
      <c r="F1325" s="54"/>
      <c r="G1325" s="54"/>
      <c r="H1325" s="54"/>
      <c r="I1325" s="54"/>
      <c r="J1325" s="31"/>
      <c r="K1325" s="31"/>
      <c r="L1325" s="28"/>
    </row>
    <row r="1326" spans="1:12" x14ac:dyDescent="0.2">
      <c r="A1326" s="52"/>
      <c r="B1326" s="52"/>
      <c r="C1326" s="53"/>
      <c r="D1326" s="54"/>
      <c r="E1326" s="54"/>
      <c r="F1326" s="54"/>
      <c r="G1326" s="54"/>
      <c r="H1326" s="54"/>
      <c r="I1326" s="54"/>
      <c r="J1326" s="31"/>
      <c r="K1326" s="31"/>
      <c r="L1326" s="28"/>
    </row>
    <row r="1327" spans="1:12" x14ac:dyDescent="0.2">
      <c r="A1327" s="52"/>
      <c r="B1327" s="52"/>
      <c r="C1327" s="54"/>
      <c r="D1327" s="54"/>
      <c r="E1327" s="54"/>
      <c r="F1327" s="54"/>
      <c r="G1327" s="54"/>
      <c r="H1327" s="54"/>
      <c r="I1327" s="54"/>
      <c r="J1327" s="31"/>
      <c r="K1327" s="31"/>
      <c r="L1327" s="28"/>
    </row>
    <row r="1328" spans="1:12" x14ac:dyDescent="0.2">
      <c r="A1328" s="55" t="s">
        <v>16</v>
      </c>
      <c r="B1328" s="56"/>
      <c r="C1328" s="56"/>
      <c r="D1328" s="56"/>
      <c r="E1328" s="56"/>
      <c r="F1328" s="56"/>
      <c r="G1328" s="56"/>
      <c r="H1328" s="56"/>
      <c r="I1328" s="57"/>
      <c r="J1328" s="36">
        <f t="shared" ref="J1328:L1328" si="380">SUM(J1325:J1327)</f>
        <v>0</v>
      </c>
      <c r="K1328" s="36">
        <f t="shared" si="380"/>
        <v>0</v>
      </c>
      <c r="L1328" s="36">
        <f t="shared" si="380"/>
        <v>0</v>
      </c>
    </row>
    <row r="1329" spans="1:12" x14ac:dyDescent="0.2">
      <c r="A1329" s="27">
        <v>207</v>
      </c>
      <c r="B1329" s="28"/>
      <c r="C1329" s="50" t="s">
        <v>422</v>
      </c>
      <c r="D1329" s="51" t="s">
        <v>475</v>
      </c>
      <c r="E1329" s="30" t="s">
        <v>472</v>
      </c>
      <c r="F1329" s="31"/>
      <c r="G1329" s="31"/>
      <c r="H1329" s="31" t="s">
        <v>14</v>
      </c>
      <c r="I1329" s="31">
        <v>1</v>
      </c>
      <c r="J1329" s="32">
        <f t="shared" ref="J1329:K1329" si="381">+J1334</f>
        <v>0</v>
      </c>
      <c r="K1329" s="33">
        <f t="shared" si="381"/>
        <v>0</v>
      </c>
      <c r="L1329" s="37">
        <f>+I1329+J1329-K1329</f>
        <v>1</v>
      </c>
    </row>
    <row r="1330" spans="1:12" x14ac:dyDescent="0.2">
      <c r="A1330" s="58" t="s">
        <v>15</v>
      </c>
      <c r="B1330" s="58"/>
      <c r="C1330" s="59" t="s">
        <v>3</v>
      </c>
      <c r="D1330" s="59"/>
      <c r="E1330" s="59"/>
      <c r="F1330" s="59"/>
      <c r="G1330" s="59"/>
      <c r="H1330" s="59"/>
      <c r="I1330" s="59"/>
      <c r="J1330" s="35" t="s">
        <v>8</v>
      </c>
      <c r="K1330" s="35" t="s">
        <v>9</v>
      </c>
      <c r="L1330" s="35" t="s">
        <v>10</v>
      </c>
    </row>
    <row r="1331" spans="1:12" x14ac:dyDescent="0.2">
      <c r="A1331" s="52"/>
      <c r="B1331" s="52"/>
      <c r="C1331" s="53"/>
      <c r="D1331" s="54"/>
      <c r="E1331" s="54"/>
      <c r="F1331" s="54"/>
      <c r="G1331" s="54"/>
      <c r="H1331" s="54"/>
      <c r="I1331" s="54"/>
      <c r="J1331" s="31"/>
      <c r="K1331" s="31"/>
      <c r="L1331" s="28"/>
    </row>
    <row r="1332" spans="1:12" x14ac:dyDescent="0.2">
      <c r="A1332" s="52"/>
      <c r="B1332" s="52"/>
      <c r="C1332" s="53"/>
      <c r="D1332" s="54"/>
      <c r="E1332" s="54"/>
      <c r="F1332" s="54"/>
      <c r="G1332" s="54"/>
      <c r="H1332" s="54"/>
      <c r="I1332" s="54"/>
      <c r="J1332" s="31"/>
      <c r="K1332" s="31"/>
      <c r="L1332" s="28"/>
    </row>
    <row r="1333" spans="1:12" x14ac:dyDescent="0.2">
      <c r="A1333" s="52"/>
      <c r="B1333" s="52"/>
      <c r="C1333" s="54"/>
      <c r="D1333" s="54"/>
      <c r="E1333" s="54"/>
      <c r="F1333" s="54"/>
      <c r="G1333" s="54"/>
      <c r="H1333" s="54"/>
      <c r="I1333" s="54"/>
      <c r="J1333" s="31"/>
      <c r="K1333" s="31"/>
      <c r="L1333" s="28"/>
    </row>
    <row r="1334" spans="1:12" x14ac:dyDescent="0.2">
      <c r="A1334" s="55" t="s">
        <v>16</v>
      </c>
      <c r="B1334" s="56"/>
      <c r="C1334" s="56"/>
      <c r="D1334" s="56"/>
      <c r="E1334" s="56"/>
      <c r="F1334" s="56"/>
      <c r="G1334" s="56"/>
      <c r="H1334" s="56"/>
      <c r="I1334" s="57"/>
      <c r="J1334" s="36">
        <f t="shared" ref="J1334:L1334" si="382">SUM(J1331:J1333)</f>
        <v>0</v>
      </c>
      <c r="K1334" s="36">
        <f t="shared" si="382"/>
        <v>0</v>
      </c>
      <c r="L1334" s="36">
        <f t="shared" si="382"/>
        <v>0</v>
      </c>
    </row>
    <row r="1335" spans="1:12" x14ac:dyDescent="0.2">
      <c r="A1335" s="27">
        <v>208</v>
      </c>
      <c r="B1335" s="28"/>
      <c r="C1335" s="50" t="s">
        <v>422</v>
      </c>
      <c r="D1335" s="51" t="s">
        <v>476</v>
      </c>
      <c r="E1335" s="30" t="s">
        <v>472</v>
      </c>
      <c r="F1335" s="31"/>
      <c r="G1335" s="31"/>
      <c r="H1335" s="31" t="s">
        <v>14</v>
      </c>
      <c r="I1335" s="31">
        <v>2</v>
      </c>
      <c r="J1335" s="32">
        <f t="shared" ref="J1335:K1335" si="383">+J1340</f>
        <v>0</v>
      </c>
      <c r="K1335" s="33">
        <f t="shared" si="383"/>
        <v>0</v>
      </c>
      <c r="L1335" s="37">
        <f>+I1335+J1335-K1335</f>
        <v>2</v>
      </c>
    </row>
    <row r="1336" spans="1:12" x14ac:dyDescent="0.2">
      <c r="A1336" s="58" t="s">
        <v>15</v>
      </c>
      <c r="B1336" s="58"/>
      <c r="C1336" s="59" t="s">
        <v>3</v>
      </c>
      <c r="D1336" s="59"/>
      <c r="E1336" s="59"/>
      <c r="F1336" s="59"/>
      <c r="G1336" s="59"/>
      <c r="H1336" s="59"/>
      <c r="I1336" s="59"/>
      <c r="J1336" s="35" t="s">
        <v>8</v>
      </c>
      <c r="K1336" s="35" t="s">
        <v>9</v>
      </c>
      <c r="L1336" s="35" t="s">
        <v>10</v>
      </c>
    </row>
    <row r="1337" spans="1:12" x14ac:dyDescent="0.2">
      <c r="A1337" s="52"/>
      <c r="B1337" s="52"/>
      <c r="C1337" s="53"/>
      <c r="D1337" s="54"/>
      <c r="E1337" s="54"/>
      <c r="F1337" s="54"/>
      <c r="G1337" s="54"/>
      <c r="H1337" s="54"/>
      <c r="I1337" s="54"/>
      <c r="J1337" s="31"/>
      <c r="K1337" s="31"/>
      <c r="L1337" s="28"/>
    </row>
    <row r="1338" spans="1:12" x14ac:dyDescent="0.2">
      <c r="A1338" s="52"/>
      <c r="B1338" s="52"/>
      <c r="C1338" s="53"/>
      <c r="D1338" s="54"/>
      <c r="E1338" s="54"/>
      <c r="F1338" s="54"/>
      <c r="G1338" s="54"/>
      <c r="H1338" s="54"/>
      <c r="I1338" s="54"/>
      <c r="J1338" s="31"/>
      <c r="K1338" s="31"/>
      <c r="L1338" s="28"/>
    </row>
    <row r="1339" spans="1:12" x14ac:dyDescent="0.2">
      <c r="A1339" s="52"/>
      <c r="B1339" s="52"/>
      <c r="C1339" s="54"/>
      <c r="D1339" s="54"/>
      <c r="E1339" s="54"/>
      <c r="F1339" s="54"/>
      <c r="G1339" s="54"/>
      <c r="H1339" s="54"/>
      <c r="I1339" s="54"/>
      <c r="J1339" s="31"/>
      <c r="K1339" s="31"/>
      <c r="L1339" s="28"/>
    </row>
    <row r="1340" spans="1:12" x14ac:dyDescent="0.2">
      <c r="A1340" s="55" t="s">
        <v>16</v>
      </c>
      <c r="B1340" s="56"/>
      <c r="C1340" s="56"/>
      <c r="D1340" s="56"/>
      <c r="E1340" s="56"/>
      <c r="F1340" s="56"/>
      <c r="G1340" s="56"/>
      <c r="H1340" s="56"/>
      <c r="I1340" s="57"/>
      <c r="J1340" s="36">
        <f t="shared" ref="J1340:L1340" si="384">SUM(J1337:J1339)</f>
        <v>0</v>
      </c>
      <c r="K1340" s="36">
        <f t="shared" si="384"/>
        <v>0</v>
      </c>
      <c r="L1340" s="36">
        <f t="shared" si="384"/>
        <v>0</v>
      </c>
    </row>
    <row r="1341" spans="1:12" x14ac:dyDescent="0.2">
      <c r="A1341" s="27">
        <v>209</v>
      </c>
      <c r="B1341" s="28"/>
      <c r="C1341" s="50" t="s">
        <v>422</v>
      </c>
      <c r="D1341" s="51" t="s">
        <v>478</v>
      </c>
      <c r="E1341" s="30" t="s">
        <v>477</v>
      </c>
      <c r="F1341" s="31"/>
      <c r="G1341" s="31"/>
      <c r="H1341" s="31" t="s">
        <v>14</v>
      </c>
      <c r="I1341" s="31">
        <v>7</v>
      </c>
      <c r="J1341" s="32">
        <f t="shared" ref="J1341:K1341" si="385">+J1346</f>
        <v>0</v>
      </c>
      <c r="K1341" s="33">
        <f t="shared" si="385"/>
        <v>0</v>
      </c>
      <c r="L1341" s="37">
        <f>+I1341+J1341-K1341</f>
        <v>7</v>
      </c>
    </row>
    <row r="1342" spans="1:12" x14ac:dyDescent="0.2">
      <c r="A1342" s="58" t="s">
        <v>15</v>
      </c>
      <c r="B1342" s="58"/>
      <c r="C1342" s="59" t="s">
        <v>3</v>
      </c>
      <c r="D1342" s="59"/>
      <c r="E1342" s="59"/>
      <c r="F1342" s="59"/>
      <c r="G1342" s="59"/>
      <c r="H1342" s="59"/>
      <c r="I1342" s="59"/>
      <c r="J1342" s="35" t="s">
        <v>8</v>
      </c>
      <c r="K1342" s="35" t="s">
        <v>9</v>
      </c>
      <c r="L1342" s="35" t="s">
        <v>10</v>
      </c>
    </row>
    <row r="1343" spans="1:12" x14ac:dyDescent="0.2">
      <c r="A1343" s="52"/>
      <c r="B1343" s="52"/>
      <c r="C1343" s="53"/>
      <c r="D1343" s="54"/>
      <c r="E1343" s="54"/>
      <c r="F1343" s="54"/>
      <c r="G1343" s="54"/>
      <c r="H1343" s="54"/>
      <c r="I1343" s="54"/>
      <c r="J1343" s="31"/>
      <c r="K1343" s="31"/>
      <c r="L1343" s="28"/>
    </row>
    <row r="1344" spans="1:12" x14ac:dyDescent="0.2">
      <c r="A1344" s="52"/>
      <c r="B1344" s="52"/>
      <c r="C1344" s="53"/>
      <c r="D1344" s="54"/>
      <c r="E1344" s="54"/>
      <c r="F1344" s="54"/>
      <c r="G1344" s="54"/>
      <c r="H1344" s="54"/>
      <c r="I1344" s="54"/>
      <c r="J1344" s="31"/>
      <c r="K1344" s="31"/>
      <c r="L1344" s="28"/>
    </row>
    <row r="1345" spans="1:12" x14ac:dyDescent="0.2">
      <c r="A1345" s="52"/>
      <c r="B1345" s="52"/>
      <c r="C1345" s="54"/>
      <c r="D1345" s="54"/>
      <c r="E1345" s="54"/>
      <c r="F1345" s="54"/>
      <c r="G1345" s="54"/>
      <c r="H1345" s="54"/>
      <c r="I1345" s="54"/>
      <c r="J1345" s="31"/>
      <c r="K1345" s="31"/>
      <c r="L1345" s="28"/>
    </row>
    <row r="1346" spans="1:12" x14ac:dyDescent="0.2">
      <c r="A1346" s="55" t="s">
        <v>16</v>
      </c>
      <c r="B1346" s="56"/>
      <c r="C1346" s="56"/>
      <c r="D1346" s="56"/>
      <c r="E1346" s="56"/>
      <c r="F1346" s="56"/>
      <c r="G1346" s="56"/>
      <c r="H1346" s="56"/>
      <c r="I1346" s="57"/>
      <c r="J1346" s="36">
        <f t="shared" ref="J1346:L1346" si="386">SUM(J1343:J1345)</f>
        <v>0</v>
      </c>
      <c r="K1346" s="36">
        <f t="shared" si="386"/>
        <v>0</v>
      </c>
      <c r="L1346" s="36">
        <f t="shared" si="386"/>
        <v>0</v>
      </c>
    </row>
    <row r="1347" spans="1:12" x14ac:dyDescent="0.2">
      <c r="A1347" s="27">
        <v>210</v>
      </c>
      <c r="B1347" s="28"/>
      <c r="C1347" s="50" t="s">
        <v>422</v>
      </c>
      <c r="D1347" s="51" t="s">
        <v>479</v>
      </c>
      <c r="E1347" s="30" t="s">
        <v>477</v>
      </c>
      <c r="F1347" s="31"/>
      <c r="G1347" s="31"/>
      <c r="H1347" s="31" t="s">
        <v>14</v>
      </c>
      <c r="I1347" s="31">
        <v>11</v>
      </c>
      <c r="J1347" s="32">
        <f t="shared" ref="J1347:K1347" si="387">+J1352</f>
        <v>0</v>
      </c>
      <c r="K1347" s="33">
        <f t="shared" si="387"/>
        <v>0</v>
      </c>
      <c r="L1347" s="37">
        <f>+I1347+J1347-K1347</f>
        <v>11</v>
      </c>
    </row>
    <row r="1348" spans="1:12" x14ac:dyDescent="0.2">
      <c r="A1348" s="58" t="s">
        <v>15</v>
      </c>
      <c r="B1348" s="58"/>
      <c r="C1348" s="59" t="s">
        <v>3</v>
      </c>
      <c r="D1348" s="59"/>
      <c r="E1348" s="59"/>
      <c r="F1348" s="59"/>
      <c r="G1348" s="59"/>
      <c r="H1348" s="59"/>
      <c r="I1348" s="59"/>
      <c r="J1348" s="35" t="s">
        <v>8</v>
      </c>
      <c r="K1348" s="35" t="s">
        <v>9</v>
      </c>
      <c r="L1348" s="35" t="s">
        <v>10</v>
      </c>
    </row>
    <row r="1349" spans="1:12" x14ac:dyDescent="0.2">
      <c r="A1349" s="52"/>
      <c r="B1349" s="52"/>
      <c r="C1349" s="53"/>
      <c r="D1349" s="54"/>
      <c r="E1349" s="54"/>
      <c r="F1349" s="54"/>
      <c r="G1349" s="54"/>
      <c r="H1349" s="54"/>
      <c r="I1349" s="54"/>
      <c r="J1349" s="31"/>
      <c r="K1349" s="31"/>
      <c r="L1349" s="28"/>
    </row>
    <row r="1350" spans="1:12" x14ac:dyDescent="0.2">
      <c r="A1350" s="52"/>
      <c r="B1350" s="52"/>
      <c r="C1350" s="53"/>
      <c r="D1350" s="54"/>
      <c r="E1350" s="54"/>
      <c r="F1350" s="54"/>
      <c r="G1350" s="54"/>
      <c r="H1350" s="54"/>
      <c r="I1350" s="54"/>
      <c r="J1350" s="31"/>
      <c r="K1350" s="31"/>
      <c r="L1350" s="28"/>
    </row>
    <row r="1351" spans="1:12" x14ac:dyDescent="0.2">
      <c r="A1351" s="52"/>
      <c r="B1351" s="52"/>
      <c r="C1351" s="54"/>
      <c r="D1351" s="54"/>
      <c r="E1351" s="54"/>
      <c r="F1351" s="54"/>
      <c r="G1351" s="54"/>
      <c r="H1351" s="54"/>
      <c r="I1351" s="54"/>
      <c r="J1351" s="31"/>
      <c r="K1351" s="31"/>
      <c r="L1351" s="28"/>
    </row>
    <row r="1352" spans="1:12" x14ac:dyDescent="0.2">
      <c r="A1352" s="55" t="s">
        <v>16</v>
      </c>
      <c r="B1352" s="56"/>
      <c r="C1352" s="56"/>
      <c r="D1352" s="56"/>
      <c r="E1352" s="56"/>
      <c r="F1352" s="56"/>
      <c r="G1352" s="56"/>
      <c r="H1352" s="56"/>
      <c r="I1352" s="57"/>
      <c r="J1352" s="36">
        <f t="shared" ref="J1352:L1352" si="388">SUM(J1349:J1351)</f>
        <v>0</v>
      </c>
      <c r="K1352" s="36">
        <f t="shared" si="388"/>
        <v>0</v>
      </c>
      <c r="L1352" s="36">
        <f t="shared" si="388"/>
        <v>0</v>
      </c>
    </row>
    <row r="1353" spans="1:12" x14ac:dyDescent="0.2">
      <c r="A1353" s="27">
        <v>211</v>
      </c>
      <c r="B1353" s="28"/>
      <c r="C1353" s="50" t="s">
        <v>422</v>
      </c>
      <c r="D1353" s="51" t="s">
        <v>480</v>
      </c>
      <c r="E1353" s="30" t="s">
        <v>477</v>
      </c>
      <c r="F1353" s="31"/>
      <c r="G1353" s="31"/>
      <c r="H1353" s="31" t="s">
        <v>14</v>
      </c>
      <c r="I1353" s="31">
        <v>5</v>
      </c>
      <c r="J1353" s="32">
        <f t="shared" ref="J1353:K1353" si="389">+J1358</f>
        <v>0</v>
      </c>
      <c r="K1353" s="33">
        <f t="shared" si="389"/>
        <v>0</v>
      </c>
      <c r="L1353" s="37">
        <f>+I1353+J1353-K1353</f>
        <v>5</v>
      </c>
    </row>
    <row r="1354" spans="1:12" x14ac:dyDescent="0.2">
      <c r="A1354" s="58" t="s">
        <v>15</v>
      </c>
      <c r="B1354" s="58"/>
      <c r="C1354" s="59" t="s">
        <v>3</v>
      </c>
      <c r="D1354" s="59"/>
      <c r="E1354" s="59"/>
      <c r="F1354" s="59"/>
      <c r="G1354" s="59"/>
      <c r="H1354" s="59"/>
      <c r="I1354" s="59"/>
      <c r="J1354" s="35" t="s">
        <v>8</v>
      </c>
      <c r="K1354" s="35" t="s">
        <v>9</v>
      </c>
      <c r="L1354" s="35" t="s">
        <v>10</v>
      </c>
    </row>
    <row r="1355" spans="1:12" x14ac:dyDescent="0.2">
      <c r="A1355" s="52"/>
      <c r="B1355" s="52"/>
      <c r="C1355" s="53"/>
      <c r="D1355" s="54"/>
      <c r="E1355" s="54"/>
      <c r="F1355" s="54"/>
      <c r="G1355" s="54"/>
      <c r="H1355" s="54"/>
      <c r="I1355" s="54"/>
      <c r="J1355" s="31"/>
      <c r="K1355" s="31"/>
      <c r="L1355" s="28"/>
    </row>
    <row r="1356" spans="1:12" x14ac:dyDescent="0.2">
      <c r="A1356" s="52"/>
      <c r="B1356" s="52"/>
      <c r="C1356" s="53"/>
      <c r="D1356" s="54"/>
      <c r="E1356" s="54"/>
      <c r="F1356" s="54"/>
      <c r="G1356" s="54"/>
      <c r="H1356" s="54"/>
      <c r="I1356" s="54"/>
      <c r="J1356" s="31"/>
      <c r="K1356" s="31"/>
      <c r="L1356" s="28"/>
    </row>
    <row r="1357" spans="1:12" x14ac:dyDescent="0.2">
      <c r="A1357" s="52"/>
      <c r="B1357" s="52"/>
      <c r="C1357" s="54"/>
      <c r="D1357" s="54"/>
      <c r="E1357" s="54"/>
      <c r="F1357" s="54"/>
      <c r="G1357" s="54"/>
      <c r="H1357" s="54"/>
      <c r="I1357" s="54"/>
      <c r="J1357" s="31"/>
      <c r="K1357" s="31"/>
      <c r="L1357" s="28"/>
    </row>
    <row r="1358" spans="1:12" x14ac:dyDescent="0.2">
      <c r="A1358" s="55" t="s">
        <v>16</v>
      </c>
      <c r="B1358" s="56"/>
      <c r="C1358" s="56"/>
      <c r="D1358" s="56"/>
      <c r="E1358" s="56"/>
      <c r="F1358" s="56"/>
      <c r="G1358" s="56"/>
      <c r="H1358" s="56"/>
      <c r="I1358" s="57"/>
      <c r="J1358" s="36">
        <f t="shared" ref="J1358:L1358" si="390">SUM(J1355:J1357)</f>
        <v>0</v>
      </c>
      <c r="K1358" s="36">
        <f t="shared" si="390"/>
        <v>0</v>
      </c>
      <c r="L1358" s="36">
        <f t="shared" si="390"/>
        <v>0</v>
      </c>
    </row>
    <row r="1359" spans="1:12" x14ac:dyDescent="0.2">
      <c r="A1359" s="27">
        <v>212</v>
      </c>
      <c r="B1359" s="28"/>
      <c r="C1359" s="50" t="s">
        <v>422</v>
      </c>
      <c r="D1359" s="51" t="s">
        <v>481</v>
      </c>
      <c r="E1359" s="30" t="s">
        <v>477</v>
      </c>
      <c r="F1359" s="31"/>
      <c r="G1359" s="31"/>
      <c r="H1359" s="31" t="s">
        <v>14</v>
      </c>
      <c r="I1359" s="31">
        <v>5</v>
      </c>
      <c r="J1359" s="32">
        <f t="shared" ref="J1359:K1359" si="391">+J1364</f>
        <v>0</v>
      </c>
      <c r="K1359" s="33">
        <f t="shared" si="391"/>
        <v>0</v>
      </c>
      <c r="L1359" s="37">
        <f>+I1359+J1359-K1359</f>
        <v>5</v>
      </c>
    </row>
    <row r="1360" spans="1:12" x14ac:dyDescent="0.2">
      <c r="A1360" s="58" t="s">
        <v>15</v>
      </c>
      <c r="B1360" s="58"/>
      <c r="C1360" s="59" t="s">
        <v>3</v>
      </c>
      <c r="D1360" s="59"/>
      <c r="E1360" s="59"/>
      <c r="F1360" s="59"/>
      <c r="G1360" s="59"/>
      <c r="H1360" s="59"/>
      <c r="I1360" s="59"/>
      <c r="J1360" s="35" t="s">
        <v>8</v>
      </c>
      <c r="K1360" s="35" t="s">
        <v>9</v>
      </c>
      <c r="L1360" s="35" t="s">
        <v>10</v>
      </c>
    </row>
    <row r="1361" spans="1:12" x14ac:dyDescent="0.2">
      <c r="A1361" s="52"/>
      <c r="B1361" s="52"/>
      <c r="C1361" s="53"/>
      <c r="D1361" s="54"/>
      <c r="E1361" s="54"/>
      <c r="F1361" s="54"/>
      <c r="G1361" s="54"/>
      <c r="H1361" s="54"/>
      <c r="I1361" s="54"/>
      <c r="J1361" s="31"/>
      <c r="K1361" s="31"/>
      <c r="L1361" s="28"/>
    </row>
    <row r="1362" spans="1:12" x14ac:dyDescent="0.2">
      <c r="A1362" s="52"/>
      <c r="B1362" s="52"/>
      <c r="C1362" s="53"/>
      <c r="D1362" s="54"/>
      <c r="E1362" s="54"/>
      <c r="F1362" s="54"/>
      <c r="G1362" s="54"/>
      <c r="H1362" s="54"/>
      <c r="I1362" s="54"/>
      <c r="J1362" s="31"/>
      <c r="K1362" s="31"/>
      <c r="L1362" s="28"/>
    </row>
    <row r="1363" spans="1:12" x14ac:dyDescent="0.2">
      <c r="A1363" s="52"/>
      <c r="B1363" s="52"/>
      <c r="C1363" s="54"/>
      <c r="D1363" s="54"/>
      <c r="E1363" s="54"/>
      <c r="F1363" s="54"/>
      <c r="G1363" s="54"/>
      <c r="H1363" s="54"/>
      <c r="I1363" s="54"/>
      <c r="J1363" s="31"/>
      <c r="K1363" s="31"/>
      <c r="L1363" s="28"/>
    </row>
    <row r="1364" spans="1:12" x14ac:dyDescent="0.2">
      <c r="A1364" s="55" t="s">
        <v>16</v>
      </c>
      <c r="B1364" s="56"/>
      <c r="C1364" s="56"/>
      <c r="D1364" s="56"/>
      <c r="E1364" s="56"/>
      <c r="F1364" s="56"/>
      <c r="G1364" s="56"/>
      <c r="H1364" s="56"/>
      <c r="I1364" s="57"/>
      <c r="J1364" s="36">
        <f t="shared" ref="J1364:L1364" si="392">SUM(J1361:J1363)</f>
        <v>0</v>
      </c>
      <c r="K1364" s="36">
        <f t="shared" si="392"/>
        <v>0</v>
      </c>
      <c r="L1364" s="36">
        <f t="shared" si="392"/>
        <v>0</v>
      </c>
    </row>
    <row r="1365" spans="1:12" x14ac:dyDescent="0.2">
      <c r="A1365" s="27">
        <v>213</v>
      </c>
      <c r="B1365" s="28"/>
      <c r="C1365" s="50" t="s">
        <v>422</v>
      </c>
      <c r="D1365" s="51" t="s">
        <v>482</v>
      </c>
      <c r="E1365" s="30" t="s">
        <v>483</v>
      </c>
      <c r="F1365" s="31"/>
      <c r="G1365" s="31"/>
      <c r="H1365" s="31" t="s">
        <v>14</v>
      </c>
      <c r="I1365" s="31">
        <v>36</v>
      </c>
      <c r="J1365" s="32">
        <f t="shared" ref="J1365:K1365" si="393">+J1370</f>
        <v>0</v>
      </c>
      <c r="K1365" s="33">
        <f t="shared" si="393"/>
        <v>0</v>
      </c>
      <c r="L1365" s="37">
        <f>+I1365+J1365-K1365</f>
        <v>36</v>
      </c>
    </row>
    <row r="1366" spans="1:12" x14ac:dyDescent="0.2">
      <c r="A1366" s="58" t="s">
        <v>15</v>
      </c>
      <c r="B1366" s="58"/>
      <c r="C1366" s="59" t="s">
        <v>3</v>
      </c>
      <c r="D1366" s="59"/>
      <c r="E1366" s="59"/>
      <c r="F1366" s="59"/>
      <c r="G1366" s="59"/>
      <c r="H1366" s="59"/>
      <c r="I1366" s="59"/>
      <c r="J1366" s="35" t="s">
        <v>8</v>
      </c>
      <c r="K1366" s="35" t="s">
        <v>9</v>
      </c>
      <c r="L1366" s="35" t="s">
        <v>10</v>
      </c>
    </row>
    <row r="1367" spans="1:12" x14ac:dyDescent="0.2">
      <c r="A1367" s="52"/>
      <c r="B1367" s="52"/>
      <c r="C1367" s="53"/>
      <c r="D1367" s="54"/>
      <c r="E1367" s="54"/>
      <c r="F1367" s="54"/>
      <c r="G1367" s="54"/>
      <c r="H1367" s="54"/>
      <c r="I1367" s="54"/>
      <c r="J1367" s="31"/>
      <c r="K1367" s="31"/>
      <c r="L1367" s="28"/>
    </row>
    <row r="1368" spans="1:12" x14ac:dyDescent="0.2">
      <c r="A1368" s="52"/>
      <c r="B1368" s="52"/>
      <c r="C1368" s="53"/>
      <c r="D1368" s="54"/>
      <c r="E1368" s="54"/>
      <c r="F1368" s="54"/>
      <c r="G1368" s="54"/>
      <c r="H1368" s="54"/>
      <c r="I1368" s="54"/>
      <c r="J1368" s="31"/>
      <c r="K1368" s="31"/>
      <c r="L1368" s="28"/>
    </row>
    <row r="1369" spans="1:12" x14ac:dyDescent="0.2">
      <c r="A1369" s="52"/>
      <c r="B1369" s="52"/>
      <c r="C1369" s="54"/>
      <c r="D1369" s="54"/>
      <c r="E1369" s="54"/>
      <c r="F1369" s="54"/>
      <c r="G1369" s="54"/>
      <c r="H1369" s="54"/>
      <c r="I1369" s="54"/>
      <c r="J1369" s="31"/>
      <c r="K1369" s="31"/>
      <c r="L1369" s="28"/>
    </row>
    <row r="1370" spans="1:12" x14ac:dyDescent="0.2">
      <c r="A1370" s="55" t="s">
        <v>16</v>
      </c>
      <c r="B1370" s="56"/>
      <c r="C1370" s="56"/>
      <c r="D1370" s="56"/>
      <c r="E1370" s="56"/>
      <c r="F1370" s="56"/>
      <c r="G1370" s="56"/>
      <c r="H1370" s="56"/>
      <c r="I1370" s="57"/>
      <c r="J1370" s="36">
        <f t="shared" ref="J1370:L1370" si="394">SUM(J1367:J1369)</f>
        <v>0</v>
      </c>
      <c r="K1370" s="36">
        <f t="shared" si="394"/>
        <v>0</v>
      </c>
      <c r="L1370" s="36">
        <f t="shared" si="394"/>
        <v>0</v>
      </c>
    </row>
    <row r="1371" spans="1:12" x14ac:dyDescent="0.2">
      <c r="A1371" s="27">
        <v>214</v>
      </c>
      <c r="B1371" s="28"/>
      <c r="C1371" s="50" t="s">
        <v>422</v>
      </c>
      <c r="D1371" s="51" t="s">
        <v>232</v>
      </c>
      <c r="E1371" s="30" t="s">
        <v>483</v>
      </c>
      <c r="F1371" s="31"/>
      <c r="G1371" s="31"/>
      <c r="H1371" s="31" t="s">
        <v>14</v>
      </c>
      <c r="I1371" s="31">
        <v>3</v>
      </c>
      <c r="J1371" s="32">
        <f t="shared" ref="J1371:K1371" si="395">+J1376</f>
        <v>0</v>
      </c>
      <c r="K1371" s="33">
        <f t="shared" si="395"/>
        <v>0</v>
      </c>
      <c r="L1371" s="37">
        <f>+I1371+J1371-K1371</f>
        <v>3</v>
      </c>
    </row>
    <row r="1372" spans="1:12" x14ac:dyDescent="0.2">
      <c r="A1372" s="58" t="s">
        <v>15</v>
      </c>
      <c r="B1372" s="58"/>
      <c r="C1372" s="59" t="s">
        <v>3</v>
      </c>
      <c r="D1372" s="59"/>
      <c r="E1372" s="59"/>
      <c r="F1372" s="59"/>
      <c r="G1372" s="59"/>
      <c r="H1372" s="59"/>
      <c r="I1372" s="59"/>
      <c r="J1372" s="35" t="s">
        <v>8</v>
      </c>
      <c r="K1372" s="35" t="s">
        <v>9</v>
      </c>
      <c r="L1372" s="35" t="s">
        <v>10</v>
      </c>
    </row>
    <row r="1373" spans="1:12" x14ac:dyDescent="0.2">
      <c r="A1373" s="52"/>
      <c r="B1373" s="52"/>
      <c r="C1373" s="53"/>
      <c r="D1373" s="54"/>
      <c r="E1373" s="54"/>
      <c r="F1373" s="54"/>
      <c r="G1373" s="54"/>
      <c r="H1373" s="54"/>
      <c r="I1373" s="54"/>
      <c r="J1373" s="31"/>
      <c r="K1373" s="31"/>
      <c r="L1373" s="28"/>
    </row>
    <row r="1374" spans="1:12" x14ac:dyDescent="0.2">
      <c r="A1374" s="52"/>
      <c r="B1374" s="52"/>
      <c r="C1374" s="53"/>
      <c r="D1374" s="54"/>
      <c r="E1374" s="54"/>
      <c r="F1374" s="54"/>
      <c r="G1374" s="54"/>
      <c r="H1374" s="54"/>
      <c r="I1374" s="54"/>
      <c r="J1374" s="31"/>
      <c r="K1374" s="31"/>
      <c r="L1374" s="28"/>
    </row>
    <row r="1375" spans="1:12" x14ac:dyDescent="0.2">
      <c r="A1375" s="52"/>
      <c r="B1375" s="52"/>
      <c r="C1375" s="54"/>
      <c r="D1375" s="54"/>
      <c r="E1375" s="54"/>
      <c r="F1375" s="54"/>
      <c r="G1375" s="54"/>
      <c r="H1375" s="54"/>
      <c r="I1375" s="54"/>
      <c r="J1375" s="31"/>
      <c r="K1375" s="31"/>
      <c r="L1375" s="28"/>
    </row>
    <row r="1376" spans="1:12" x14ac:dyDescent="0.2">
      <c r="A1376" s="55" t="s">
        <v>16</v>
      </c>
      <c r="B1376" s="56"/>
      <c r="C1376" s="56"/>
      <c r="D1376" s="56"/>
      <c r="E1376" s="56"/>
      <c r="F1376" s="56"/>
      <c r="G1376" s="56"/>
      <c r="H1376" s="56"/>
      <c r="I1376" s="57"/>
      <c r="J1376" s="36">
        <f t="shared" ref="J1376:L1376" si="396">SUM(J1373:J1375)</f>
        <v>0</v>
      </c>
      <c r="K1376" s="36">
        <f t="shared" si="396"/>
        <v>0</v>
      </c>
      <c r="L1376" s="36">
        <f t="shared" si="396"/>
        <v>0</v>
      </c>
    </row>
    <row r="1377" spans="1:12" x14ac:dyDescent="0.2">
      <c r="A1377" s="27">
        <v>215</v>
      </c>
      <c r="B1377" s="28"/>
      <c r="C1377" s="50" t="s">
        <v>422</v>
      </c>
      <c r="D1377" s="51" t="s">
        <v>221</v>
      </c>
      <c r="E1377" s="30" t="s">
        <v>483</v>
      </c>
      <c r="F1377" s="31"/>
      <c r="G1377" s="31"/>
      <c r="H1377" s="31" t="s">
        <v>14</v>
      </c>
      <c r="I1377" s="31">
        <v>2</v>
      </c>
      <c r="J1377" s="32">
        <f t="shared" ref="J1377:K1377" si="397">+J1382</f>
        <v>0</v>
      </c>
      <c r="K1377" s="33">
        <f t="shared" si="397"/>
        <v>0</v>
      </c>
      <c r="L1377" s="37">
        <f>+I1377+J1377-K1377</f>
        <v>2</v>
      </c>
    </row>
    <row r="1378" spans="1:12" x14ac:dyDescent="0.2">
      <c r="A1378" s="58" t="s">
        <v>15</v>
      </c>
      <c r="B1378" s="58"/>
      <c r="C1378" s="59" t="s">
        <v>3</v>
      </c>
      <c r="D1378" s="59"/>
      <c r="E1378" s="59"/>
      <c r="F1378" s="59"/>
      <c r="G1378" s="59"/>
      <c r="H1378" s="59"/>
      <c r="I1378" s="59"/>
      <c r="J1378" s="35" t="s">
        <v>8</v>
      </c>
      <c r="K1378" s="35" t="s">
        <v>9</v>
      </c>
      <c r="L1378" s="35" t="s">
        <v>10</v>
      </c>
    </row>
    <row r="1379" spans="1:12" x14ac:dyDescent="0.2">
      <c r="A1379" s="52"/>
      <c r="B1379" s="52"/>
      <c r="C1379" s="53"/>
      <c r="D1379" s="54"/>
      <c r="E1379" s="54"/>
      <c r="F1379" s="54"/>
      <c r="G1379" s="54"/>
      <c r="H1379" s="54"/>
      <c r="I1379" s="54"/>
      <c r="J1379" s="31"/>
      <c r="K1379" s="31"/>
      <c r="L1379" s="28"/>
    </row>
    <row r="1380" spans="1:12" x14ac:dyDescent="0.2">
      <c r="A1380" s="52"/>
      <c r="B1380" s="52"/>
      <c r="C1380" s="53"/>
      <c r="D1380" s="54"/>
      <c r="E1380" s="54"/>
      <c r="F1380" s="54"/>
      <c r="G1380" s="54"/>
      <c r="H1380" s="54"/>
      <c r="I1380" s="54"/>
      <c r="J1380" s="31"/>
      <c r="K1380" s="31"/>
      <c r="L1380" s="28"/>
    </row>
    <row r="1381" spans="1:12" x14ac:dyDescent="0.2">
      <c r="A1381" s="52"/>
      <c r="B1381" s="52"/>
      <c r="C1381" s="54"/>
      <c r="D1381" s="54"/>
      <c r="E1381" s="54"/>
      <c r="F1381" s="54"/>
      <c r="G1381" s="54"/>
      <c r="H1381" s="54"/>
      <c r="I1381" s="54"/>
      <c r="J1381" s="31"/>
      <c r="K1381" s="31"/>
      <c r="L1381" s="28"/>
    </row>
    <row r="1382" spans="1:12" x14ac:dyDescent="0.2">
      <c r="A1382" s="55" t="s">
        <v>16</v>
      </c>
      <c r="B1382" s="56"/>
      <c r="C1382" s="56"/>
      <c r="D1382" s="56"/>
      <c r="E1382" s="56"/>
      <c r="F1382" s="56"/>
      <c r="G1382" s="56"/>
      <c r="H1382" s="56"/>
      <c r="I1382" s="57"/>
      <c r="J1382" s="36">
        <f t="shared" ref="J1382:L1382" si="398">SUM(J1379:J1381)</f>
        <v>0</v>
      </c>
      <c r="K1382" s="36">
        <f t="shared" si="398"/>
        <v>0</v>
      </c>
      <c r="L1382" s="36">
        <f t="shared" si="398"/>
        <v>0</v>
      </c>
    </row>
    <row r="1383" spans="1:12" x14ac:dyDescent="0.2">
      <c r="A1383" s="27">
        <v>216</v>
      </c>
      <c r="B1383" s="28"/>
      <c r="C1383" s="50" t="s">
        <v>422</v>
      </c>
      <c r="D1383" s="51" t="s">
        <v>484</v>
      </c>
      <c r="E1383" s="30" t="s">
        <v>483</v>
      </c>
      <c r="F1383" s="31"/>
      <c r="G1383" s="31"/>
      <c r="H1383" s="31" t="s">
        <v>14</v>
      </c>
      <c r="I1383" s="31">
        <v>2</v>
      </c>
      <c r="J1383" s="32">
        <f t="shared" ref="J1383:K1383" si="399">+J1388</f>
        <v>0</v>
      </c>
      <c r="K1383" s="33">
        <f t="shared" si="399"/>
        <v>0</v>
      </c>
      <c r="L1383" s="37">
        <f>+I1383+J1383-K1383</f>
        <v>2</v>
      </c>
    </row>
    <row r="1384" spans="1:12" x14ac:dyDescent="0.2">
      <c r="A1384" s="58" t="s">
        <v>15</v>
      </c>
      <c r="B1384" s="58"/>
      <c r="C1384" s="59" t="s">
        <v>3</v>
      </c>
      <c r="D1384" s="59"/>
      <c r="E1384" s="59"/>
      <c r="F1384" s="59"/>
      <c r="G1384" s="59"/>
      <c r="H1384" s="59"/>
      <c r="I1384" s="59"/>
      <c r="J1384" s="35" t="s">
        <v>8</v>
      </c>
      <c r="K1384" s="35" t="s">
        <v>9</v>
      </c>
      <c r="L1384" s="35" t="s">
        <v>10</v>
      </c>
    </row>
    <row r="1385" spans="1:12" x14ac:dyDescent="0.2">
      <c r="A1385" s="52"/>
      <c r="B1385" s="52"/>
      <c r="C1385" s="53"/>
      <c r="D1385" s="54"/>
      <c r="E1385" s="54"/>
      <c r="F1385" s="54"/>
      <c r="G1385" s="54"/>
      <c r="H1385" s="54"/>
      <c r="I1385" s="54"/>
      <c r="J1385" s="31"/>
      <c r="K1385" s="31"/>
      <c r="L1385" s="28"/>
    </row>
    <row r="1386" spans="1:12" x14ac:dyDescent="0.2">
      <c r="A1386" s="52"/>
      <c r="B1386" s="52"/>
      <c r="C1386" s="53"/>
      <c r="D1386" s="54"/>
      <c r="E1386" s="54"/>
      <c r="F1386" s="54"/>
      <c r="G1386" s="54"/>
      <c r="H1386" s="54"/>
      <c r="I1386" s="54"/>
      <c r="J1386" s="31"/>
      <c r="K1386" s="31"/>
      <c r="L1386" s="28"/>
    </row>
    <row r="1387" spans="1:12" x14ac:dyDescent="0.2">
      <c r="A1387" s="52"/>
      <c r="B1387" s="52"/>
      <c r="C1387" s="54"/>
      <c r="D1387" s="54"/>
      <c r="E1387" s="54"/>
      <c r="F1387" s="54"/>
      <c r="G1387" s="54"/>
      <c r="H1387" s="54"/>
      <c r="I1387" s="54"/>
      <c r="J1387" s="31"/>
      <c r="K1387" s="31"/>
      <c r="L1387" s="28"/>
    </row>
    <row r="1388" spans="1:12" x14ac:dyDescent="0.2">
      <c r="A1388" s="55" t="s">
        <v>16</v>
      </c>
      <c r="B1388" s="56"/>
      <c r="C1388" s="56"/>
      <c r="D1388" s="56"/>
      <c r="E1388" s="56"/>
      <c r="F1388" s="56"/>
      <c r="G1388" s="56"/>
      <c r="H1388" s="56"/>
      <c r="I1388" s="57"/>
      <c r="J1388" s="36">
        <f t="shared" ref="J1388:L1388" si="400">SUM(J1385:J1387)</f>
        <v>0</v>
      </c>
      <c r="K1388" s="36">
        <f t="shared" si="400"/>
        <v>0</v>
      </c>
      <c r="L1388" s="36">
        <f t="shared" si="400"/>
        <v>0</v>
      </c>
    </row>
    <row r="1389" spans="1:12" x14ac:dyDescent="0.2">
      <c r="A1389" s="27">
        <v>217</v>
      </c>
      <c r="B1389" s="28"/>
      <c r="C1389" s="50" t="s">
        <v>422</v>
      </c>
      <c r="D1389" s="51" t="s">
        <v>485</v>
      </c>
      <c r="E1389" s="30" t="s">
        <v>483</v>
      </c>
      <c r="F1389" s="31"/>
      <c r="G1389" s="31"/>
      <c r="H1389" s="31" t="s">
        <v>14</v>
      </c>
      <c r="I1389" s="31">
        <v>17</v>
      </c>
      <c r="J1389" s="32">
        <f t="shared" ref="J1389:K1389" si="401">+J1394</f>
        <v>0</v>
      </c>
      <c r="K1389" s="33">
        <f t="shared" si="401"/>
        <v>0</v>
      </c>
      <c r="L1389" s="37">
        <f>+I1389+J1389-K1389</f>
        <v>17</v>
      </c>
    </row>
    <row r="1390" spans="1:12" x14ac:dyDescent="0.2">
      <c r="A1390" s="58" t="s">
        <v>15</v>
      </c>
      <c r="B1390" s="58"/>
      <c r="C1390" s="59" t="s">
        <v>3</v>
      </c>
      <c r="D1390" s="59"/>
      <c r="E1390" s="59"/>
      <c r="F1390" s="59"/>
      <c r="G1390" s="59"/>
      <c r="H1390" s="59"/>
      <c r="I1390" s="59"/>
      <c r="J1390" s="35" t="s">
        <v>8</v>
      </c>
      <c r="K1390" s="35" t="s">
        <v>9</v>
      </c>
      <c r="L1390" s="35" t="s">
        <v>10</v>
      </c>
    </row>
    <row r="1391" spans="1:12" x14ac:dyDescent="0.2">
      <c r="A1391" s="52"/>
      <c r="B1391" s="52"/>
      <c r="C1391" s="53"/>
      <c r="D1391" s="54"/>
      <c r="E1391" s="54"/>
      <c r="F1391" s="54"/>
      <c r="G1391" s="54"/>
      <c r="H1391" s="54"/>
      <c r="I1391" s="54"/>
      <c r="J1391" s="31"/>
      <c r="K1391" s="31"/>
      <c r="L1391" s="28"/>
    </row>
    <row r="1392" spans="1:12" x14ac:dyDescent="0.2">
      <c r="A1392" s="52"/>
      <c r="B1392" s="52"/>
      <c r="C1392" s="53"/>
      <c r="D1392" s="54"/>
      <c r="E1392" s="54"/>
      <c r="F1392" s="54"/>
      <c r="G1392" s="54"/>
      <c r="H1392" s="54"/>
      <c r="I1392" s="54"/>
      <c r="J1392" s="31"/>
      <c r="K1392" s="31"/>
      <c r="L1392" s="28"/>
    </row>
    <row r="1393" spans="1:12" x14ac:dyDescent="0.2">
      <c r="A1393" s="52"/>
      <c r="B1393" s="52"/>
      <c r="C1393" s="54"/>
      <c r="D1393" s="54"/>
      <c r="E1393" s="54"/>
      <c r="F1393" s="54"/>
      <c r="G1393" s="54"/>
      <c r="H1393" s="54"/>
      <c r="I1393" s="54"/>
      <c r="J1393" s="31"/>
      <c r="K1393" s="31"/>
      <c r="L1393" s="28"/>
    </row>
    <row r="1394" spans="1:12" x14ac:dyDescent="0.2">
      <c r="A1394" s="55" t="s">
        <v>16</v>
      </c>
      <c r="B1394" s="56"/>
      <c r="C1394" s="56"/>
      <c r="D1394" s="56"/>
      <c r="E1394" s="56"/>
      <c r="F1394" s="56"/>
      <c r="G1394" s="56"/>
      <c r="H1394" s="56"/>
      <c r="I1394" s="57"/>
      <c r="J1394" s="36">
        <f t="shared" ref="J1394:L1394" si="402">SUM(J1391:J1393)</f>
        <v>0</v>
      </c>
      <c r="K1394" s="36">
        <f t="shared" si="402"/>
        <v>0</v>
      </c>
      <c r="L1394" s="36">
        <f t="shared" si="402"/>
        <v>0</v>
      </c>
    </row>
    <row r="1395" spans="1:12" x14ac:dyDescent="0.2">
      <c r="A1395" s="27">
        <v>218</v>
      </c>
      <c r="B1395" s="28"/>
      <c r="C1395" s="50" t="s">
        <v>422</v>
      </c>
      <c r="D1395" s="51" t="s">
        <v>224</v>
      </c>
      <c r="E1395" s="30" t="s">
        <v>483</v>
      </c>
      <c r="F1395" s="31"/>
      <c r="G1395" s="31"/>
      <c r="H1395" s="31" t="s">
        <v>14</v>
      </c>
      <c r="I1395" s="31">
        <v>1</v>
      </c>
      <c r="J1395" s="32">
        <f t="shared" ref="J1395:K1395" si="403">+J1400</f>
        <v>0</v>
      </c>
      <c r="K1395" s="33">
        <f t="shared" si="403"/>
        <v>0</v>
      </c>
      <c r="L1395" s="37">
        <f>+I1395+J1395-K1395</f>
        <v>1</v>
      </c>
    </row>
    <row r="1396" spans="1:12" x14ac:dyDescent="0.2">
      <c r="A1396" s="58" t="s">
        <v>15</v>
      </c>
      <c r="B1396" s="58"/>
      <c r="C1396" s="59" t="s">
        <v>3</v>
      </c>
      <c r="D1396" s="59"/>
      <c r="E1396" s="59"/>
      <c r="F1396" s="59"/>
      <c r="G1396" s="59"/>
      <c r="H1396" s="59"/>
      <c r="I1396" s="59"/>
      <c r="J1396" s="35" t="s">
        <v>8</v>
      </c>
      <c r="K1396" s="35" t="s">
        <v>9</v>
      </c>
      <c r="L1396" s="35" t="s">
        <v>10</v>
      </c>
    </row>
    <row r="1397" spans="1:12" x14ac:dyDescent="0.2">
      <c r="A1397" s="52"/>
      <c r="B1397" s="52"/>
      <c r="C1397" s="53"/>
      <c r="D1397" s="54"/>
      <c r="E1397" s="54"/>
      <c r="F1397" s="54"/>
      <c r="G1397" s="54"/>
      <c r="H1397" s="54"/>
      <c r="I1397" s="54"/>
      <c r="J1397" s="31"/>
      <c r="K1397" s="31"/>
      <c r="L1397" s="28"/>
    </row>
    <row r="1398" spans="1:12" x14ac:dyDescent="0.2">
      <c r="A1398" s="52"/>
      <c r="B1398" s="52"/>
      <c r="C1398" s="53"/>
      <c r="D1398" s="54"/>
      <c r="E1398" s="54"/>
      <c r="F1398" s="54"/>
      <c r="G1398" s="54"/>
      <c r="H1398" s="54"/>
      <c r="I1398" s="54"/>
      <c r="J1398" s="31"/>
      <c r="K1398" s="31"/>
      <c r="L1398" s="28"/>
    </row>
    <row r="1399" spans="1:12" x14ac:dyDescent="0.2">
      <c r="A1399" s="52"/>
      <c r="B1399" s="52"/>
      <c r="C1399" s="54"/>
      <c r="D1399" s="54"/>
      <c r="E1399" s="54"/>
      <c r="F1399" s="54"/>
      <c r="G1399" s="54"/>
      <c r="H1399" s="54"/>
      <c r="I1399" s="54"/>
      <c r="J1399" s="31"/>
      <c r="K1399" s="31"/>
      <c r="L1399" s="28"/>
    </row>
    <row r="1400" spans="1:12" x14ac:dyDescent="0.2">
      <c r="A1400" s="55" t="s">
        <v>16</v>
      </c>
      <c r="B1400" s="56"/>
      <c r="C1400" s="56"/>
      <c r="D1400" s="56"/>
      <c r="E1400" s="56"/>
      <c r="F1400" s="56"/>
      <c r="G1400" s="56"/>
      <c r="H1400" s="56"/>
      <c r="I1400" s="57"/>
      <c r="J1400" s="36">
        <f t="shared" ref="J1400:L1400" si="404">SUM(J1397:J1399)</f>
        <v>0</v>
      </c>
      <c r="K1400" s="36">
        <f t="shared" si="404"/>
        <v>0</v>
      </c>
      <c r="L1400" s="36">
        <f t="shared" si="404"/>
        <v>0</v>
      </c>
    </row>
    <row r="1401" spans="1:12" x14ac:dyDescent="0.2">
      <c r="A1401" s="27">
        <v>219</v>
      </c>
      <c r="B1401" s="28"/>
      <c r="C1401" s="50" t="s">
        <v>422</v>
      </c>
      <c r="D1401" s="51" t="s">
        <v>227</v>
      </c>
      <c r="E1401" s="30" t="s">
        <v>483</v>
      </c>
      <c r="F1401" s="31"/>
      <c r="G1401" s="31"/>
      <c r="H1401" s="31" t="s">
        <v>14</v>
      </c>
      <c r="I1401" s="31">
        <v>1</v>
      </c>
      <c r="J1401" s="32">
        <f t="shared" ref="J1401:K1401" si="405">+J1406</f>
        <v>0</v>
      </c>
      <c r="K1401" s="33">
        <f t="shared" si="405"/>
        <v>0</v>
      </c>
      <c r="L1401" s="37">
        <f>+I1401+J1401-K1401</f>
        <v>1</v>
      </c>
    </row>
    <row r="1402" spans="1:12" x14ac:dyDescent="0.2">
      <c r="A1402" s="58" t="s">
        <v>15</v>
      </c>
      <c r="B1402" s="58"/>
      <c r="C1402" s="59" t="s">
        <v>3</v>
      </c>
      <c r="D1402" s="59"/>
      <c r="E1402" s="59"/>
      <c r="F1402" s="59"/>
      <c r="G1402" s="59"/>
      <c r="H1402" s="59"/>
      <c r="I1402" s="59"/>
      <c r="J1402" s="35" t="s">
        <v>8</v>
      </c>
      <c r="K1402" s="35" t="s">
        <v>9</v>
      </c>
      <c r="L1402" s="35" t="s">
        <v>10</v>
      </c>
    </row>
    <row r="1403" spans="1:12" x14ac:dyDescent="0.2">
      <c r="A1403" s="52"/>
      <c r="B1403" s="52"/>
      <c r="C1403" s="53"/>
      <c r="D1403" s="54"/>
      <c r="E1403" s="54"/>
      <c r="F1403" s="54"/>
      <c r="G1403" s="54"/>
      <c r="H1403" s="54"/>
      <c r="I1403" s="54"/>
      <c r="J1403" s="31"/>
      <c r="K1403" s="31"/>
      <c r="L1403" s="28"/>
    </row>
    <row r="1404" spans="1:12" x14ac:dyDescent="0.2">
      <c r="A1404" s="52"/>
      <c r="B1404" s="52"/>
      <c r="C1404" s="53"/>
      <c r="D1404" s="54"/>
      <c r="E1404" s="54"/>
      <c r="F1404" s="54"/>
      <c r="G1404" s="54"/>
      <c r="H1404" s="54"/>
      <c r="I1404" s="54"/>
      <c r="J1404" s="31"/>
      <c r="K1404" s="31"/>
      <c r="L1404" s="28"/>
    </row>
    <row r="1405" spans="1:12" x14ac:dyDescent="0.2">
      <c r="A1405" s="52"/>
      <c r="B1405" s="52"/>
      <c r="C1405" s="54"/>
      <c r="D1405" s="54"/>
      <c r="E1405" s="54"/>
      <c r="F1405" s="54"/>
      <c r="G1405" s="54"/>
      <c r="H1405" s="54"/>
      <c r="I1405" s="54"/>
      <c r="J1405" s="31"/>
      <c r="K1405" s="31"/>
      <c r="L1405" s="28"/>
    </row>
    <row r="1406" spans="1:12" x14ac:dyDescent="0.2">
      <c r="A1406" s="55" t="s">
        <v>16</v>
      </c>
      <c r="B1406" s="56"/>
      <c r="C1406" s="56"/>
      <c r="D1406" s="56"/>
      <c r="E1406" s="56"/>
      <c r="F1406" s="56"/>
      <c r="G1406" s="56"/>
      <c r="H1406" s="56"/>
      <c r="I1406" s="57"/>
      <c r="J1406" s="36">
        <f t="shared" ref="J1406:L1406" si="406">SUM(J1403:J1405)</f>
        <v>0</v>
      </c>
      <c r="K1406" s="36">
        <f t="shared" si="406"/>
        <v>0</v>
      </c>
      <c r="L1406" s="36">
        <f t="shared" si="406"/>
        <v>0</v>
      </c>
    </row>
    <row r="1407" spans="1:12" x14ac:dyDescent="0.2">
      <c r="A1407" s="27">
        <v>220</v>
      </c>
      <c r="B1407" s="28"/>
      <c r="C1407" s="50" t="s">
        <v>422</v>
      </c>
      <c r="D1407" s="51" t="s">
        <v>486</v>
      </c>
      <c r="E1407" s="30" t="s">
        <v>483</v>
      </c>
      <c r="F1407" s="31"/>
      <c r="G1407" s="31"/>
      <c r="H1407" s="31" t="s">
        <v>14</v>
      </c>
      <c r="I1407" s="31">
        <v>1</v>
      </c>
      <c r="J1407" s="32">
        <f t="shared" ref="J1407:K1407" si="407">+J1412</f>
        <v>0</v>
      </c>
      <c r="K1407" s="33">
        <f t="shared" si="407"/>
        <v>0</v>
      </c>
      <c r="L1407" s="37">
        <f>+I1407+J1407-K1407</f>
        <v>1</v>
      </c>
    </row>
    <row r="1408" spans="1:12" x14ac:dyDescent="0.2">
      <c r="A1408" s="58" t="s">
        <v>15</v>
      </c>
      <c r="B1408" s="58"/>
      <c r="C1408" s="59" t="s">
        <v>3</v>
      </c>
      <c r="D1408" s="59"/>
      <c r="E1408" s="59"/>
      <c r="F1408" s="59"/>
      <c r="G1408" s="59"/>
      <c r="H1408" s="59"/>
      <c r="I1408" s="59"/>
      <c r="J1408" s="35" t="s">
        <v>8</v>
      </c>
      <c r="K1408" s="35" t="s">
        <v>9</v>
      </c>
      <c r="L1408" s="35" t="s">
        <v>10</v>
      </c>
    </row>
    <row r="1409" spans="1:12" x14ac:dyDescent="0.2">
      <c r="A1409" s="52"/>
      <c r="B1409" s="52"/>
      <c r="C1409" s="53"/>
      <c r="D1409" s="54"/>
      <c r="E1409" s="54"/>
      <c r="F1409" s="54"/>
      <c r="G1409" s="54"/>
      <c r="H1409" s="54"/>
      <c r="I1409" s="54"/>
      <c r="J1409" s="31"/>
      <c r="K1409" s="31"/>
      <c r="L1409" s="28"/>
    </row>
    <row r="1410" spans="1:12" x14ac:dyDescent="0.2">
      <c r="A1410" s="52"/>
      <c r="B1410" s="52"/>
      <c r="C1410" s="53"/>
      <c r="D1410" s="54"/>
      <c r="E1410" s="54"/>
      <c r="F1410" s="54"/>
      <c r="G1410" s="54"/>
      <c r="H1410" s="54"/>
      <c r="I1410" s="54"/>
      <c r="J1410" s="31"/>
      <c r="K1410" s="31"/>
      <c r="L1410" s="28"/>
    </row>
    <row r="1411" spans="1:12" x14ac:dyDescent="0.2">
      <c r="A1411" s="52"/>
      <c r="B1411" s="52"/>
      <c r="C1411" s="54"/>
      <c r="D1411" s="54"/>
      <c r="E1411" s="54"/>
      <c r="F1411" s="54"/>
      <c r="G1411" s="54"/>
      <c r="H1411" s="54"/>
      <c r="I1411" s="54"/>
      <c r="J1411" s="31"/>
      <c r="K1411" s="31"/>
      <c r="L1411" s="28"/>
    </row>
    <row r="1412" spans="1:12" x14ac:dyDescent="0.2">
      <c r="A1412" s="55" t="s">
        <v>16</v>
      </c>
      <c r="B1412" s="56"/>
      <c r="C1412" s="56"/>
      <c r="D1412" s="56"/>
      <c r="E1412" s="56"/>
      <c r="F1412" s="56"/>
      <c r="G1412" s="56"/>
      <c r="H1412" s="56"/>
      <c r="I1412" s="57"/>
      <c r="J1412" s="36">
        <f t="shared" ref="J1412:L1412" si="408">SUM(J1409:J1411)</f>
        <v>0</v>
      </c>
      <c r="K1412" s="36">
        <f t="shared" si="408"/>
        <v>0</v>
      </c>
      <c r="L1412" s="36">
        <f t="shared" si="408"/>
        <v>0</v>
      </c>
    </row>
  </sheetData>
  <mergeCells count="2162">
    <mergeCell ref="C510:I510"/>
    <mergeCell ref="C511:I511"/>
    <mergeCell ref="C514:I514"/>
    <mergeCell ref="C518:I518"/>
    <mergeCell ref="C519:I519"/>
    <mergeCell ref="A473:B473"/>
    <mergeCell ref="A497:B497"/>
    <mergeCell ref="A588:B588"/>
    <mergeCell ref="C588:I588"/>
    <mergeCell ref="A589:B589"/>
    <mergeCell ref="C589:I589"/>
    <mergeCell ref="A101:B101"/>
    <mergeCell ref="C101:I101"/>
    <mergeCell ref="A300:B300"/>
    <mergeCell ref="C300:I300"/>
    <mergeCell ref="A485:B485"/>
    <mergeCell ref="C485:I485"/>
    <mergeCell ref="A493:B493"/>
    <mergeCell ref="C493:I493"/>
    <mergeCell ref="A375:B375"/>
    <mergeCell ref="C375:I375"/>
    <mergeCell ref="C393:I393"/>
    <mergeCell ref="A385:B385"/>
    <mergeCell ref="C385:I385"/>
    <mergeCell ref="A386:B386"/>
    <mergeCell ref="C386:I386"/>
    <mergeCell ref="A387:B387"/>
    <mergeCell ref="C387:I387"/>
    <mergeCell ref="A388:B388"/>
    <mergeCell ref="C388:I388"/>
    <mergeCell ref="A389:I389"/>
    <mergeCell ref="A440:B440"/>
    <mergeCell ref="C440:I440"/>
    <mergeCell ref="A441:B441"/>
    <mergeCell ref="C441:I441"/>
    <mergeCell ref="A391:B391"/>
    <mergeCell ref="C391:I391"/>
    <mergeCell ref="A392:B392"/>
    <mergeCell ref="C392:I392"/>
    <mergeCell ref="A402:B402"/>
    <mergeCell ref="A403:B403"/>
    <mergeCell ref="A394:B394"/>
    <mergeCell ref="C394:I394"/>
    <mergeCell ref="A395:I395"/>
    <mergeCell ref="A932:B932"/>
    <mergeCell ref="C932:I932"/>
    <mergeCell ref="A933:B933"/>
    <mergeCell ref="C933:I933"/>
    <mergeCell ref="A934:I934"/>
    <mergeCell ref="A948:B948"/>
    <mergeCell ref="C948:I948"/>
    <mergeCell ref="A950:B950"/>
    <mergeCell ref="C950:I950"/>
    <mergeCell ref="A951:B951"/>
    <mergeCell ref="C951:I951"/>
    <mergeCell ref="A952:I952"/>
    <mergeCell ref="A404:B404"/>
    <mergeCell ref="C404:I404"/>
    <mergeCell ref="A411:B411"/>
    <mergeCell ref="C411:I411"/>
    <mergeCell ref="A442:B442"/>
    <mergeCell ref="C442:I442"/>
    <mergeCell ref="A443:B443"/>
    <mergeCell ref="C443:I443"/>
    <mergeCell ref="A444:I444"/>
    <mergeCell ref="A476:B476"/>
    <mergeCell ref="C476:I476"/>
    <mergeCell ref="A477:B477"/>
    <mergeCell ref="C477:I477"/>
    <mergeCell ref="A478:B478"/>
    <mergeCell ref="C478:I478"/>
    <mergeCell ref="A479:B479"/>
    <mergeCell ref="C497:I497"/>
    <mergeCell ref="A498:B498"/>
    <mergeCell ref="C498:I498"/>
    <mergeCell ref="A499:B499"/>
    <mergeCell ref="A914:B914"/>
    <mergeCell ref="C914:I914"/>
    <mergeCell ref="A915:B915"/>
    <mergeCell ref="C915:I915"/>
    <mergeCell ref="A916:I916"/>
    <mergeCell ref="A924:B924"/>
    <mergeCell ref="C924:I924"/>
    <mergeCell ref="A925:B925"/>
    <mergeCell ref="C925:I925"/>
    <mergeCell ref="A926:B926"/>
    <mergeCell ref="C926:I926"/>
    <mergeCell ref="A927:B927"/>
    <mergeCell ref="C927:I927"/>
    <mergeCell ref="A928:I928"/>
    <mergeCell ref="A930:B930"/>
    <mergeCell ref="C930:I930"/>
    <mergeCell ref="A931:B931"/>
    <mergeCell ref="C931:I931"/>
    <mergeCell ref="A922:I922"/>
    <mergeCell ref="C716:I716"/>
    <mergeCell ref="A717:I717"/>
    <mergeCell ref="A912:B912"/>
    <mergeCell ref="C912:I912"/>
    <mergeCell ref="A913:B913"/>
    <mergeCell ref="C913:I913"/>
    <mergeCell ref="C732:I732"/>
    <mergeCell ref="C733:I733"/>
    <mergeCell ref="C734:I734"/>
    <mergeCell ref="C738:I738"/>
    <mergeCell ref="C739:I739"/>
    <mergeCell ref="C740:I740"/>
    <mergeCell ref="A807:I807"/>
    <mergeCell ref="A850:I850"/>
    <mergeCell ref="A910:I910"/>
    <mergeCell ref="C859:I859"/>
    <mergeCell ref="C860:I860"/>
    <mergeCell ref="C861:I861"/>
    <mergeCell ref="C865:I865"/>
    <mergeCell ref="C866:I866"/>
    <mergeCell ref="A1126:B1126"/>
    <mergeCell ref="C1126:I1126"/>
    <mergeCell ref="A1127:B1127"/>
    <mergeCell ref="C1127:I1127"/>
    <mergeCell ref="A1128:I1128"/>
    <mergeCell ref="A665:B665"/>
    <mergeCell ref="C665:I665"/>
    <mergeCell ref="A666:B666"/>
    <mergeCell ref="C666:I666"/>
    <mergeCell ref="A667:B667"/>
    <mergeCell ref="C667:I667"/>
    <mergeCell ref="A668:B668"/>
    <mergeCell ref="C668:I668"/>
    <mergeCell ref="A669:I669"/>
    <mergeCell ref="A1058:B1058"/>
    <mergeCell ref="C1058:I1058"/>
    <mergeCell ref="A1059:B1059"/>
    <mergeCell ref="C1059:I1059"/>
    <mergeCell ref="A1060:B1060"/>
    <mergeCell ref="C1060:I1060"/>
    <mergeCell ref="A1061:B1061"/>
    <mergeCell ref="C1061:I1061"/>
    <mergeCell ref="A1062:I1062"/>
    <mergeCell ref="A848:B848"/>
    <mergeCell ref="C848:I848"/>
    <mergeCell ref="A839:B839"/>
    <mergeCell ref="C839:I839"/>
    <mergeCell ref="A840:B840"/>
    <mergeCell ref="A841:B841"/>
    <mergeCell ref="C841:I841"/>
    <mergeCell ref="A842:B842"/>
    <mergeCell ref="C842:I842"/>
    <mergeCell ref="A1117:B1117"/>
    <mergeCell ref="C1117:I1117"/>
    <mergeCell ref="A1118:B1118"/>
    <mergeCell ref="C1118:I1118"/>
    <mergeCell ref="A1119:B1119"/>
    <mergeCell ref="C1119:I1119"/>
    <mergeCell ref="A1120:B1120"/>
    <mergeCell ref="C1120:I1120"/>
    <mergeCell ref="A1121:B1121"/>
    <mergeCell ref="C1121:I1121"/>
    <mergeCell ref="A1122:B1122"/>
    <mergeCell ref="C1122:I1122"/>
    <mergeCell ref="A1123:B1123"/>
    <mergeCell ref="C1123:I1123"/>
    <mergeCell ref="A1124:B1124"/>
    <mergeCell ref="C1124:I1124"/>
    <mergeCell ref="A1125:B1125"/>
    <mergeCell ref="C1125:I1125"/>
    <mergeCell ref="A1108:B1108"/>
    <mergeCell ref="C1108:I1108"/>
    <mergeCell ref="A1109:B1109"/>
    <mergeCell ref="C1109:I1109"/>
    <mergeCell ref="A1110:B1110"/>
    <mergeCell ref="C1110:I1110"/>
    <mergeCell ref="A1111:B1111"/>
    <mergeCell ref="C1111:I1111"/>
    <mergeCell ref="A1112:B1112"/>
    <mergeCell ref="C1112:I1112"/>
    <mergeCell ref="A1113:B1113"/>
    <mergeCell ref="C1113:I1113"/>
    <mergeCell ref="A1114:B1114"/>
    <mergeCell ref="C1114:I1114"/>
    <mergeCell ref="A1115:B1115"/>
    <mergeCell ref="C1115:I1115"/>
    <mergeCell ref="A1116:B1116"/>
    <mergeCell ref="C1116:I1116"/>
    <mergeCell ref="A1096:B1096"/>
    <mergeCell ref="A1097:B1097"/>
    <mergeCell ref="A1098:B1098"/>
    <mergeCell ref="A1099:B1099"/>
    <mergeCell ref="A1100:B1100"/>
    <mergeCell ref="A1101:B1101"/>
    <mergeCell ref="A1102:B1102"/>
    <mergeCell ref="A1082:B1082"/>
    <mergeCell ref="C1082:I1082"/>
    <mergeCell ref="A1083:B1083"/>
    <mergeCell ref="C1083:I1083"/>
    <mergeCell ref="A1084:B1084"/>
    <mergeCell ref="C1084:I1084"/>
    <mergeCell ref="A1106:B1106"/>
    <mergeCell ref="C1106:I1106"/>
    <mergeCell ref="A1107:B1107"/>
    <mergeCell ref="C1107:I1107"/>
    <mergeCell ref="A1103:B1103"/>
    <mergeCell ref="C1103:I1103"/>
    <mergeCell ref="A1104:I1104"/>
    <mergeCell ref="A1085:B1085"/>
    <mergeCell ref="C1085:I1085"/>
    <mergeCell ref="A1086:B1086"/>
    <mergeCell ref="C1086:I1086"/>
    <mergeCell ref="A1087:B1087"/>
    <mergeCell ref="C1087:I1087"/>
    <mergeCell ref="A1088:B1088"/>
    <mergeCell ref="C1088:I1088"/>
    <mergeCell ref="A1089:B1089"/>
    <mergeCell ref="C1089:I1089"/>
    <mergeCell ref="A1090:B1090"/>
    <mergeCell ref="C1090:I1090"/>
    <mergeCell ref="A1091:B1091"/>
    <mergeCell ref="C1091:I1091"/>
    <mergeCell ref="A1092:B1092"/>
    <mergeCell ref="C1092:I1092"/>
    <mergeCell ref="A1093:B1093"/>
    <mergeCell ref="C1093:I1093"/>
    <mergeCell ref="A1094:B1094"/>
    <mergeCell ref="C1094:I1094"/>
    <mergeCell ref="C1095:I1095"/>
    <mergeCell ref="C1096:I1096"/>
    <mergeCell ref="C1097:I1097"/>
    <mergeCell ref="C1098:I1098"/>
    <mergeCell ref="C1099:I1099"/>
    <mergeCell ref="C1100:I1100"/>
    <mergeCell ref="C1101:I1101"/>
    <mergeCell ref="C1102:I1102"/>
    <mergeCell ref="A1095:B1095"/>
    <mergeCell ref="C1034:I1034"/>
    <mergeCell ref="A1038:I1038"/>
    <mergeCell ref="A1040:B1040"/>
    <mergeCell ref="C1040:I1040"/>
    <mergeCell ref="A1041:B1041"/>
    <mergeCell ref="C1041:I1041"/>
    <mergeCell ref="A1042:B1042"/>
    <mergeCell ref="C1042:I1042"/>
    <mergeCell ref="A1043:B1043"/>
    <mergeCell ref="C1043:I1043"/>
    <mergeCell ref="A1044:I1044"/>
    <mergeCell ref="A974:B974"/>
    <mergeCell ref="C974:I974"/>
    <mergeCell ref="A975:B975"/>
    <mergeCell ref="C975:I975"/>
    <mergeCell ref="A976:B976"/>
    <mergeCell ref="C976:I976"/>
    <mergeCell ref="A977:I977"/>
    <mergeCell ref="A979:B979"/>
    <mergeCell ref="C979:I979"/>
    <mergeCell ref="A980:B980"/>
    <mergeCell ref="C980:I980"/>
    <mergeCell ref="A981:B981"/>
    <mergeCell ref="C981:I981"/>
    <mergeCell ref="A982:B982"/>
    <mergeCell ref="C982:I982"/>
    <mergeCell ref="C1004:I1004"/>
    <mergeCell ref="A1006:B1006"/>
    <mergeCell ref="C1006:I1006"/>
    <mergeCell ref="A1007:B1007"/>
    <mergeCell ref="C1007:I1007"/>
    <mergeCell ref="A1008:I1008"/>
    <mergeCell ref="A961:B961"/>
    <mergeCell ref="C961:I961"/>
    <mergeCell ref="A962:B962"/>
    <mergeCell ref="C962:I962"/>
    <mergeCell ref="A963:B963"/>
    <mergeCell ref="C963:I963"/>
    <mergeCell ref="A964:B964"/>
    <mergeCell ref="C964:I964"/>
    <mergeCell ref="A965:I965"/>
    <mergeCell ref="A967:B967"/>
    <mergeCell ref="C967:I967"/>
    <mergeCell ref="A968:B968"/>
    <mergeCell ref="C968:I968"/>
    <mergeCell ref="A949:B949"/>
    <mergeCell ref="C949:I949"/>
    <mergeCell ref="A969:B969"/>
    <mergeCell ref="C969:I969"/>
    <mergeCell ref="A959:I959"/>
    <mergeCell ref="C954:I954"/>
    <mergeCell ref="A954:B954"/>
    <mergeCell ref="A955:B955"/>
    <mergeCell ref="A970:B970"/>
    <mergeCell ref="C970:I970"/>
    <mergeCell ref="A971:I971"/>
    <mergeCell ref="A973:B973"/>
    <mergeCell ref="C1053:I1053"/>
    <mergeCell ref="C1054:I1054"/>
    <mergeCell ref="C1055:I1055"/>
    <mergeCell ref="C1065:I1065"/>
    <mergeCell ref="C1066:I1066"/>
    <mergeCell ref="C1067:I1067"/>
    <mergeCell ref="C1077:I1077"/>
    <mergeCell ref="C1078:I1078"/>
    <mergeCell ref="C1079:I1079"/>
    <mergeCell ref="A1070:B1070"/>
    <mergeCell ref="C1070:I1070"/>
    <mergeCell ref="A1071:B1071"/>
    <mergeCell ref="C1071:I1071"/>
    <mergeCell ref="A1072:B1072"/>
    <mergeCell ref="C1072:I1072"/>
    <mergeCell ref="A1073:B1073"/>
    <mergeCell ref="C1073:I1073"/>
    <mergeCell ref="A1074:I1074"/>
    <mergeCell ref="C1019:I1019"/>
    <mergeCell ref="C1036:I1036"/>
    <mergeCell ref="C1037:I1037"/>
    <mergeCell ref="C992:I992"/>
    <mergeCell ref="C993:I993"/>
    <mergeCell ref="C994:I994"/>
    <mergeCell ref="C998:I998"/>
    <mergeCell ref="C999:I999"/>
    <mergeCell ref="C1000:I1000"/>
    <mergeCell ref="C1047:I1047"/>
    <mergeCell ref="C1048:I1048"/>
    <mergeCell ref="C1022:I1022"/>
    <mergeCell ref="C1023:I1023"/>
    <mergeCell ref="C1024:I1024"/>
    <mergeCell ref="C1025:I1025"/>
    <mergeCell ref="A1026:I1026"/>
    <mergeCell ref="A1028:B1028"/>
    <mergeCell ref="C1028:I1028"/>
    <mergeCell ref="A1029:B1029"/>
    <mergeCell ref="C1029:I1029"/>
    <mergeCell ref="A1030:B1030"/>
    <mergeCell ref="C1030:I1030"/>
    <mergeCell ref="A1031:B1031"/>
    <mergeCell ref="C1031:I1031"/>
    <mergeCell ref="A1032:I1032"/>
    <mergeCell ref="C956:I956"/>
    <mergeCell ref="C957:I957"/>
    <mergeCell ref="C958:I958"/>
    <mergeCell ref="C986:I986"/>
    <mergeCell ref="C987:I987"/>
    <mergeCell ref="C988:I988"/>
    <mergeCell ref="C1011:I1011"/>
    <mergeCell ref="C1005:I1005"/>
    <mergeCell ref="C1012:I1012"/>
    <mergeCell ref="C1013:I1013"/>
    <mergeCell ref="C1017:I1017"/>
    <mergeCell ref="C1018:I1018"/>
    <mergeCell ref="C973:I973"/>
    <mergeCell ref="A983:I983"/>
    <mergeCell ref="A1003:B1003"/>
    <mergeCell ref="C1003:I1003"/>
    <mergeCell ref="A1004:B1004"/>
    <mergeCell ref="C939:I939"/>
    <mergeCell ref="C804:I804"/>
    <mergeCell ref="C805:I805"/>
    <mergeCell ref="C806:I806"/>
    <mergeCell ref="C919:I919"/>
    <mergeCell ref="C920:I920"/>
    <mergeCell ref="C921:I921"/>
    <mergeCell ref="C846:I846"/>
    <mergeCell ref="C847:I847"/>
    <mergeCell ref="C849:I849"/>
    <mergeCell ref="C907:I907"/>
    <mergeCell ref="C908:I908"/>
    <mergeCell ref="C909:I909"/>
    <mergeCell ref="C955:I955"/>
    <mergeCell ref="C840:I840"/>
    <mergeCell ref="C745:I745"/>
    <mergeCell ref="C746:I746"/>
    <mergeCell ref="C828:I828"/>
    <mergeCell ref="C829:I829"/>
    <mergeCell ref="C830:I830"/>
    <mergeCell ref="C834:I834"/>
    <mergeCell ref="C835:I835"/>
    <mergeCell ref="C836:I836"/>
    <mergeCell ref="C824:I824"/>
    <mergeCell ref="C793:I793"/>
    <mergeCell ref="C794:I794"/>
    <mergeCell ref="C798:I798"/>
    <mergeCell ref="C799:I799"/>
    <mergeCell ref="C800:I800"/>
    <mergeCell ref="A898:I898"/>
    <mergeCell ref="A904:I904"/>
    <mergeCell ref="A940:I940"/>
    <mergeCell ref="A856:I856"/>
    <mergeCell ref="A880:I880"/>
    <mergeCell ref="A886:I886"/>
    <mergeCell ref="A892:I892"/>
    <mergeCell ref="C696:I696"/>
    <mergeCell ref="C697:I697"/>
    <mergeCell ref="C698:I698"/>
    <mergeCell ref="C702:I702"/>
    <mergeCell ref="C703:I703"/>
    <mergeCell ref="C704:I704"/>
    <mergeCell ref="C708:I708"/>
    <mergeCell ref="C709:I709"/>
    <mergeCell ref="C710:I710"/>
    <mergeCell ref="C720:I720"/>
    <mergeCell ref="C721:I721"/>
    <mergeCell ref="C722:I722"/>
    <mergeCell ref="C726:I726"/>
    <mergeCell ref="C727:I727"/>
    <mergeCell ref="C728:I728"/>
    <mergeCell ref="C750:I750"/>
    <mergeCell ref="C792:I792"/>
    <mergeCell ref="C788:I788"/>
    <mergeCell ref="C743:I743"/>
    <mergeCell ref="C731:I731"/>
    <mergeCell ref="C737:I737"/>
    <mergeCell ref="A843:I843"/>
    <mergeCell ref="A713:B713"/>
    <mergeCell ref="C713:I713"/>
    <mergeCell ref="A714:B714"/>
    <mergeCell ref="C714:I714"/>
    <mergeCell ref="A715:B715"/>
    <mergeCell ref="C715:I715"/>
    <mergeCell ref="C630:I630"/>
    <mergeCell ref="C631:I631"/>
    <mergeCell ref="C632:I632"/>
    <mergeCell ref="C636:I636"/>
    <mergeCell ref="C637:I637"/>
    <mergeCell ref="C638:I638"/>
    <mergeCell ref="C690:I690"/>
    <mergeCell ref="C691:I691"/>
    <mergeCell ref="C692:I692"/>
    <mergeCell ref="C943:I943"/>
    <mergeCell ref="C944:I944"/>
    <mergeCell ref="C945:I945"/>
    <mergeCell ref="C816:I816"/>
    <mergeCell ref="C817:I817"/>
    <mergeCell ref="C818:I818"/>
    <mergeCell ref="C822:I822"/>
    <mergeCell ref="C823:I823"/>
    <mergeCell ref="C684:I684"/>
    <mergeCell ref="C685:I685"/>
    <mergeCell ref="C686:I686"/>
    <mergeCell ref="C756:I756"/>
    <mergeCell ref="C757:I757"/>
    <mergeCell ref="C758:I758"/>
    <mergeCell ref="C762:I762"/>
    <mergeCell ref="C763:I763"/>
    <mergeCell ref="C764:I764"/>
    <mergeCell ref="C768:I768"/>
    <mergeCell ref="C769:I769"/>
    <mergeCell ref="C770:I770"/>
    <mergeCell ref="C774:I774"/>
    <mergeCell ref="C775:I775"/>
    <mergeCell ref="C776:I776"/>
    <mergeCell ref="C509:I509"/>
    <mergeCell ref="C517:I517"/>
    <mergeCell ref="C566:I566"/>
    <mergeCell ref="A470:B470"/>
    <mergeCell ref="A471:B471"/>
    <mergeCell ref="A472:B472"/>
    <mergeCell ref="C607:I607"/>
    <mergeCell ref="C608:I608"/>
    <mergeCell ref="C612:I612"/>
    <mergeCell ref="C613:I613"/>
    <mergeCell ref="C614:I614"/>
    <mergeCell ref="C618:I618"/>
    <mergeCell ref="C619:I619"/>
    <mergeCell ref="C620:I620"/>
    <mergeCell ref="C624:I624"/>
    <mergeCell ref="C625:I625"/>
    <mergeCell ref="C626:I626"/>
    <mergeCell ref="C499:I499"/>
    <mergeCell ref="A500:B500"/>
    <mergeCell ref="C500:I500"/>
    <mergeCell ref="A501:I501"/>
    <mergeCell ref="A520:B520"/>
    <mergeCell ref="A512:B512"/>
    <mergeCell ref="C512:I512"/>
    <mergeCell ref="A513:B513"/>
    <mergeCell ref="C513:I513"/>
    <mergeCell ref="A492:B492"/>
    <mergeCell ref="C492:I492"/>
    <mergeCell ref="C520:I520"/>
    <mergeCell ref="C504:I504"/>
    <mergeCell ref="C505:I505"/>
    <mergeCell ref="C506:I506"/>
    <mergeCell ref="C467:I467"/>
    <mergeCell ref="C471:I471"/>
    <mergeCell ref="C472:I472"/>
    <mergeCell ref="C473:I473"/>
    <mergeCell ref="C490:I490"/>
    <mergeCell ref="C491:I491"/>
    <mergeCell ref="C494:I494"/>
    <mergeCell ref="C479:I479"/>
    <mergeCell ref="A480:I480"/>
    <mergeCell ref="A482:B482"/>
    <mergeCell ref="C482:I482"/>
    <mergeCell ref="A483:B483"/>
    <mergeCell ref="C483:I483"/>
    <mergeCell ref="A484:B484"/>
    <mergeCell ref="C484:I484"/>
    <mergeCell ref="A486:B486"/>
    <mergeCell ref="C486:I486"/>
    <mergeCell ref="A487:I487"/>
    <mergeCell ref="C285:I285"/>
    <mergeCell ref="C286:I286"/>
    <mergeCell ref="C288:I288"/>
    <mergeCell ref="C292:I292"/>
    <mergeCell ref="C293:I293"/>
    <mergeCell ref="C294:I294"/>
    <mergeCell ref="C298:I298"/>
    <mergeCell ref="C299:I299"/>
    <mergeCell ref="C301:I301"/>
    <mergeCell ref="C353:I353"/>
    <mergeCell ref="C354:I354"/>
    <mergeCell ref="C355:I355"/>
    <mergeCell ref="C359:I359"/>
    <mergeCell ref="C360:I360"/>
    <mergeCell ref="C361:I361"/>
    <mergeCell ref="C365:I365"/>
    <mergeCell ref="C364:I364"/>
    <mergeCell ref="A332:I332"/>
    <mergeCell ref="A334:B334"/>
    <mergeCell ref="C334:I334"/>
    <mergeCell ref="A335:B335"/>
    <mergeCell ref="C335:I335"/>
    <mergeCell ref="A336:B336"/>
    <mergeCell ref="C336:I336"/>
    <mergeCell ref="A337:B337"/>
    <mergeCell ref="C337:I337"/>
    <mergeCell ref="A338:I338"/>
    <mergeCell ref="A340:B340"/>
    <mergeCell ref="C340:I340"/>
    <mergeCell ref="A341:B341"/>
    <mergeCell ref="C341:I341"/>
    <mergeCell ref="C200:I200"/>
    <mergeCell ref="C201:I201"/>
    <mergeCell ref="C205:I205"/>
    <mergeCell ref="C206:I206"/>
    <mergeCell ref="C207:I207"/>
    <mergeCell ref="C211:I211"/>
    <mergeCell ref="C212:I212"/>
    <mergeCell ref="C213:I213"/>
    <mergeCell ref="C217:I217"/>
    <mergeCell ref="C218:I218"/>
    <mergeCell ref="C219:I219"/>
    <mergeCell ref="C223:I223"/>
    <mergeCell ref="C224:I224"/>
    <mergeCell ref="C210:I210"/>
    <mergeCell ref="C216:I216"/>
    <mergeCell ref="C222:I222"/>
    <mergeCell ref="C281:I281"/>
    <mergeCell ref="C163:I163"/>
    <mergeCell ref="C167:I167"/>
    <mergeCell ref="C168:I168"/>
    <mergeCell ref="C169:I169"/>
    <mergeCell ref="C170:I170"/>
    <mergeCell ref="C174:I174"/>
    <mergeCell ref="C175:I175"/>
    <mergeCell ref="C176:I176"/>
    <mergeCell ref="C177:I177"/>
    <mergeCell ref="C181:I181"/>
    <mergeCell ref="C182:I182"/>
    <mergeCell ref="C183:I183"/>
    <mergeCell ref="C187:I187"/>
    <mergeCell ref="C193:I193"/>
    <mergeCell ref="C194:I194"/>
    <mergeCell ref="C195:I195"/>
    <mergeCell ref="C199:I199"/>
    <mergeCell ref="A1014:I1014"/>
    <mergeCell ref="A1020:I1020"/>
    <mergeCell ref="A995:I995"/>
    <mergeCell ref="A1001:I1001"/>
    <mergeCell ref="A1050:I1050"/>
    <mergeCell ref="A1056:I1056"/>
    <mergeCell ref="A1068:I1068"/>
    <mergeCell ref="A1080:I1080"/>
    <mergeCell ref="C87:I87"/>
    <mergeCell ref="C88:I88"/>
    <mergeCell ref="C89:I89"/>
    <mergeCell ref="C93:I93"/>
    <mergeCell ref="C94:I94"/>
    <mergeCell ref="C95:I95"/>
    <mergeCell ref="C99:I99"/>
    <mergeCell ref="C102:I102"/>
    <mergeCell ref="C106:I106"/>
    <mergeCell ref="C107:I107"/>
    <mergeCell ref="C108:I108"/>
    <mergeCell ref="C112:I112"/>
    <mergeCell ref="C113:I113"/>
    <mergeCell ref="C114:I114"/>
    <mergeCell ref="C118:I118"/>
    <mergeCell ref="C119:I119"/>
    <mergeCell ref="C120:I120"/>
    <mergeCell ref="C130:I130"/>
    <mergeCell ref="C131:I131"/>
    <mergeCell ref="A837:I837"/>
    <mergeCell ref="A862:I862"/>
    <mergeCell ref="A868:I868"/>
    <mergeCell ref="A874:I874"/>
    <mergeCell ref="C156:I156"/>
    <mergeCell ref="C867:I867"/>
    <mergeCell ref="C871:I871"/>
    <mergeCell ref="C872:I872"/>
    <mergeCell ref="C873:I873"/>
    <mergeCell ref="C853:I853"/>
    <mergeCell ref="C854:I854"/>
    <mergeCell ref="C855:I855"/>
    <mergeCell ref="C877:I877"/>
    <mergeCell ref="C878:I878"/>
    <mergeCell ref="C879:I879"/>
    <mergeCell ref="A633:I633"/>
    <mergeCell ref="A639:I639"/>
    <mergeCell ref="A645:I645"/>
    <mergeCell ref="A651:I651"/>
    <mergeCell ref="A657:I657"/>
    <mergeCell ref="A675:I675"/>
    <mergeCell ref="A681:I681"/>
    <mergeCell ref="A687:I687"/>
    <mergeCell ref="A759:I759"/>
    <mergeCell ref="A765:I765"/>
    <mergeCell ref="A771:I771"/>
    <mergeCell ref="A777:I777"/>
    <mergeCell ref="A813:I813"/>
    <mergeCell ref="A783:I783"/>
    <mergeCell ref="A789:I789"/>
    <mergeCell ref="A795:I795"/>
    <mergeCell ref="A801:I801"/>
    <mergeCell ref="C642:I642"/>
    <mergeCell ref="C643:I643"/>
    <mergeCell ref="C644:I644"/>
    <mergeCell ref="C648:I648"/>
    <mergeCell ref="C649:I649"/>
    <mergeCell ref="C656:I656"/>
    <mergeCell ref="C672:I672"/>
    <mergeCell ref="C673:I673"/>
    <mergeCell ref="C674:I674"/>
    <mergeCell ref="C678:I678"/>
    <mergeCell ref="C679:I679"/>
    <mergeCell ref="C680:I680"/>
    <mergeCell ref="A507:I507"/>
    <mergeCell ref="A515:I515"/>
    <mergeCell ref="A522:I522"/>
    <mergeCell ref="A570:I570"/>
    <mergeCell ref="A558:I558"/>
    <mergeCell ref="A580:I580"/>
    <mergeCell ref="A528:I528"/>
    <mergeCell ref="A534:I534"/>
    <mergeCell ref="A540:I540"/>
    <mergeCell ref="A552:I552"/>
    <mergeCell ref="A591:I591"/>
    <mergeCell ref="A597:I597"/>
    <mergeCell ref="A603:I603"/>
    <mergeCell ref="A609:I609"/>
    <mergeCell ref="A615:I615"/>
    <mergeCell ref="A621:I621"/>
    <mergeCell ref="A627:I627"/>
    <mergeCell ref="C569:I569"/>
    <mergeCell ref="C555:I555"/>
    <mergeCell ref="C556:I556"/>
    <mergeCell ref="C557:I557"/>
    <mergeCell ref="C573:I573"/>
    <mergeCell ref="C521:I521"/>
    <mergeCell ref="C567:I567"/>
    <mergeCell ref="C568:I568"/>
    <mergeCell ref="C579:I579"/>
    <mergeCell ref="C525:I525"/>
    <mergeCell ref="C526:I526"/>
    <mergeCell ref="C527:I527"/>
    <mergeCell ref="C531:I531"/>
    <mergeCell ref="C532:I532"/>
    <mergeCell ref="C533:I533"/>
    <mergeCell ref="C537:I537"/>
    <mergeCell ref="A362:I362"/>
    <mergeCell ref="A377:I377"/>
    <mergeCell ref="A383:I383"/>
    <mergeCell ref="A406:I406"/>
    <mergeCell ref="A413:I413"/>
    <mergeCell ref="A420:I420"/>
    <mergeCell ref="A426:I426"/>
    <mergeCell ref="A432:I432"/>
    <mergeCell ref="A438:I438"/>
    <mergeCell ref="A450:I450"/>
    <mergeCell ref="A456:I456"/>
    <mergeCell ref="A462:I462"/>
    <mergeCell ref="A468:I468"/>
    <mergeCell ref="A474:I474"/>
    <mergeCell ref="A495:I495"/>
    <mergeCell ref="C366:I366"/>
    <mergeCell ref="C367:I367"/>
    <mergeCell ref="C368:I368"/>
    <mergeCell ref="C369:I369"/>
    <mergeCell ref="C370:I370"/>
    <mergeCell ref="C371:I371"/>
    <mergeCell ref="C372:I372"/>
    <mergeCell ref="C459:I459"/>
    <mergeCell ref="C460:I460"/>
    <mergeCell ref="C373:I373"/>
    <mergeCell ref="C374:I374"/>
    <mergeCell ref="C376:I376"/>
    <mergeCell ref="C380:I380"/>
    <mergeCell ref="C381:I381"/>
    <mergeCell ref="A196:I196"/>
    <mergeCell ref="A202:I202"/>
    <mergeCell ref="A208:I208"/>
    <mergeCell ref="A214:I214"/>
    <mergeCell ref="A220:I220"/>
    <mergeCell ref="A226:I226"/>
    <mergeCell ref="A232:I232"/>
    <mergeCell ref="A238:I238"/>
    <mergeCell ref="A244:I244"/>
    <mergeCell ref="A250:I250"/>
    <mergeCell ref="A256:I256"/>
    <mergeCell ref="A262:I262"/>
    <mergeCell ref="A268:I268"/>
    <mergeCell ref="A274:I274"/>
    <mergeCell ref="A282:I282"/>
    <mergeCell ref="A289:I289"/>
    <mergeCell ref="A295:I295"/>
    <mergeCell ref="C225:I225"/>
    <mergeCell ref="C229:I229"/>
    <mergeCell ref="C230:I230"/>
    <mergeCell ref="C231:I231"/>
    <mergeCell ref="C235:I235"/>
    <mergeCell ref="C236:I236"/>
    <mergeCell ref="C237:I237"/>
    <mergeCell ref="C241:I241"/>
    <mergeCell ref="C242:I242"/>
    <mergeCell ref="C243:I243"/>
    <mergeCell ref="C247:I247"/>
    <mergeCell ref="C248:I248"/>
    <mergeCell ref="C249:I249"/>
    <mergeCell ref="C253:I253"/>
    <mergeCell ref="C254:I254"/>
    <mergeCell ref="C1010:I1010"/>
    <mergeCell ref="C1016:I1016"/>
    <mergeCell ref="C1035:I1035"/>
    <mergeCell ref="C991:I991"/>
    <mergeCell ref="C997:I997"/>
    <mergeCell ref="C1046:I1046"/>
    <mergeCell ref="C1052:I1052"/>
    <mergeCell ref="C1064:I1064"/>
    <mergeCell ref="C1076:I1076"/>
    <mergeCell ref="A20:I20"/>
    <mergeCell ref="A26:I26"/>
    <mergeCell ref="A38:I38"/>
    <mergeCell ref="A44:I44"/>
    <mergeCell ref="A50:I50"/>
    <mergeCell ref="A56:I56"/>
    <mergeCell ref="A66:I66"/>
    <mergeCell ref="A72:I72"/>
    <mergeCell ref="A78:I78"/>
    <mergeCell ref="A84:I84"/>
    <mergeCell ref="A90:I90"/>
    <mergeCell ref="A96:I96"/>
    <mergeCell ref="A103:I103"/>
    <mergeCell ref="A109:I109"/>
    <mergeCell ref="A115:I115"/>
    <mergeCell ref="A121:I121"/>
    <mergeCell ref="A133:I133"/>
    <mergeCell ref="A139:I139"/>
    <mergeCell ref="A145:I145"/>
    <mergeCell ref="A152:I152"/>
    <mergeCell ref="A158:I158"/>
    <mergeCell ref="A164:I164"/>
    <mergeCell ref="C864:I864"/>
    <mergeCell ref="C870:I870"/>
    <mergeCell ref="C852:I852"/>
    <mergeCell ref="C876:I876"/>
    <mergeCell ref="C882:I882"/>
    <mergeCell ref="C888:I888"/>
    <mergeCell ref="C894:I894"/>
    <mergeCell ref="C900:I900"/>
    <mergeCell ref="C936:I936"/>
    <mergeCell ref="C803:I803"/>
    <mergeCell ref="C918:I918"/>
    <mergeCell ref="C845:I845"/>
    <mergeCell ref="C906:I906"/>
    <mergeCell ref="C689:I689"/>
    <mergeCell ref="C695:I695"/>
    <mergeCell ref="C701:I701"/>
    <mergeCell ref="C707:I707"/>
    <mergeCell ref="C719:I719"/>
    <mergeCell ref="C725:I725"/>
    <mergeCell ref="A693:I693"/>
    <mergeCell ref="A699:I699"/>
    <mergeCell ref="A705:I705"/>
    <mergeCell ref="A711:I711"/>
    <mergeCell ref="A723:I723"/>
    <mergeCell ref="C781:I781"/>
    <mergeCell ref="C782:I782"/>
    <mergeCell ref="C786:I786"/>
    <mergeCell ref="C787:I787"/>
    <mergeCell ref="C985:I985"/>
    <mergeCell ref="A989:I989"/>
    <mergeCell ref="C883:I883"/>
    <mergeCell ref="C884:I884"/>
    <mergeCell ref="C885:I885"/>
    <mergeCell ref="C889:I889"/>
    <mergeCell ref="C890:I890"/>
    <mergeCell ref="C891:I891"/>
    <mergeCell ref="C895:I895"/>
    <mergeCell ref="C896:I896"/>
    <mergeCell ref="C897:I897"/>
    <mergeCell ref="C901:I901"/>
    <mergeCell ref="C902:I902"/>
    <mergeCell ref="C903:I903"/>
    <mergeCell ref="C937:I937"/>
    <mergeCell ref="C938:I938"/>
    <mergeCell ref="C761:I761"/>
    <mergeCell ref="C767:I767"/>
    <mergeCell ref="C773:I773"/>
    <mergeCell ref="C809:I809"/>
    <mergeCell ref="C779:I779"/>
    <mergeCell ref="C785:I785"/>
    <mergeCell ref="C791:I791"/>
    <mergeCell ref="C797:I797"/>
    <mergeCell ref="C942:I942"/>
    <mergeCell ref="C815:I815"/>
    <mergeCell ref="C821:I821"/>
    <mergeCell ref="A946:I946"/>
    <mergeCell ref="A819:I819"/>
    <mergeCell ref="A825:I825"/>
    <mergeCell ref="C812:I812"/>
    <mergeCell ref="C780:I780"/>
    <mergeCell ref="C554:I554"/>
    <mergeCell ref="C572:I572"/>
    <mergeCell ref="C524:I524"/>
    <mergeCell ref="C530:I530"/>
    <mergeCell ref="C536:I536"/>
    <mergeCell ref="C548:I548"/>
    <mergeCell ref="C582:I582"/>
    <mergeCell ref="C593:I593"/>
    <mergeCell ref="C599:I599"/>
    <mergeCell ref="C605:I605"/>
    <mergeCell ref="C611:I611"/>
    <mergeCell ref="C617:I617"/>
    <mergeCell ref="C623:I623"/>
    <mergeCell ref="C629:I629"/>
    <mergeCell ref="C538:I538"/>
    <mergeCell ref="C539:I539"/>
    <mergeCell ref="C549:I549"/>
    <mergeCell ref="C550:I550"/>
    <mergeCell ref="C551:I551"/>
    <mergeCell ref="C583:I583"/>
    <mergeCell ref="C584:I584"/>
    <mergeCell ref="C590:I590"/>
    <mergeCell ref="C594:I594"/>
    <mergeCell ref="C595:I595"/>
    <mergeCell ref="C596:I596"/>
    <mergeCell ref="C600:I600"/>
    <mergeCell ref="C601:I601"/>
    <mergeCell ref="C602:I602"/>
    <mergeCell ref="C606:I606"/>
    <mergeCell ref="C587:I587"/>
    <mergeCell ref="C574:I574"/>
    <mergeCell ref="C575:I575"/>
    <mergeCell ref="C379:I379"/>
    <mergeCell ref="C397:I397"/>
    <mergeCell ref="C408:I408"/>
    <mergeCell ref="C415:I415"/>
    <mergeCell ref="C422:I422"/>
    <mergeCell ref="C428:I428"/>
    <mergeCell ref="C434:I434"/>
    <mergeCell ref="C446:I446"/>
    <mergeCell ref="C452:I452"/>
    <mergeCell ref="C458:I458"/>
    <mergeCell ref="C464:I464"/>
    <mergeCell ref="C470:I470"/>
    <mergeCell ref="C489:I489"/>
    <mergeCell ref="C503:I503"/>
    <mergeCell ref="C382:I382"/>
    <mergeCell ref="C398:I398"/>
    <mergeCell ref="C399:I399"/>
    <mergeCell ref="C400:I400"/>
    <mergeCell ref="C401:I401"/>
    <mergeCell ref="C402:I402"/>
    <mergeCell ref="C403:I403"/>
    <mergeCell ref="C405:I405"/>
    <mergeCell ref="C409:I409"/>
    <mergeCell ref="C410:I410"/>
    <mergeCell ref="C412:I412"/>
    <mergeCell ref="C416:I416"/>
    <mergeCell ref="C417:I417"/>
    <mergeCell ref="C418:I418"/>
    <mergeCell ref="C419:I419"/>
    <mergeCell ref="C461:I461"/>
    <mergeCell ref="C465:I465"/>
    <mergeCell ref="C466:I466"/>
    <mergeCell ref="C228:I228"/>
    <mergeCell ref="C234:I234"/>
    <mergeCell ref="C240:I240"/>
    <mergeCell ref="C246:I246"/>
    <mergeCell ref="C252:I252"/>
    <mergeCell ref="C258:I258"/>
    <mergeCell ref="C264:I264"/>
    <mergeCell ref="C270:I270"/>
    <mergeCell ref="C276:I276"/>
    <mergeCell ref="C284:I284"/>
    <mergeCell ref="C291:I291"/>
    <mergeCell ref="C297:I297"/>
    <mergeCell ref="C352:I352"/>
    <mergeCell ref="C358:I358"/>
    <mergeCell ref="A302:I302"/>
    <mergeCell ref="A356:I356"/>
    <mergeCell ref="C255:I255"/>
    <mergeCell ref="C259:I259"/>
    <mergeCell ref="C260:I260"/>
    <mergeCell ref="C261:I261"/>
    <mergeCell ref="C265:I265"/>
    <mergeCell ref="C266:I266"/>
    <mergeCell ref="C267:I267"/>
    <mergeCell ref="C271:I271"/>
    <mergeCell ref="C272:I272"/>
    <mergeCell ref="C273:I273"/>
    <mergeCell ref="C277:I277"/>
    <mergeCell ref="C278:I278"/>
    <mergeCell ref="C279:I279"/>
    <mergeCell ref="A272:B272"/>
    <mergeCell ref="A273:B273"/>
    <mergeCell ref="A291:B291"/>
    <mergeCell ref="C86:I86"/>
    <mergeCell ref="C92:I92"/>
    <mergeCell ref="C98:I98"/>
    <mergeCell ref="C105:I105"/>
    <mergeCell ref="C111:I111"/>
    <mergeCell ref="C117:I117"/>
    <mergeCell ref="C129:I129"/>
    <mergeCell ref="C135:I135"/>
    <mergeCell ref="C141:I141"/>
    <mergeCell ref="C147:I147"/>
    <mergeCell ref="C154:I154"/>
    <mergeCell ref="C160:I160"/>
    <mergeCell ref="C166:I166"/>
    <mergeCell ref="C173:I173"/>
    <mergeCell ref="C180:I180"/>
    <mergeCell ref="C186:I186"/>
    <mergeCell ref="C192:I192"/>
    <mergeCell ref="A171:I171"/>
    <mergeCell ref="A178:I178"/>
    <mergeCell ref="A184:I184"/>
    <mergeCell ref="A190:I190"/>
    <mergeCell ref="C132:I132"/>
    <mergeCell ref="C136:I136"/>
    <mergeCell ref="C137:I137"/>
    <mergeCell ref="C138:I138"/>
    <mergeCell ref="C142:I142"/>
    <mergeCell ref="C143:I143"/>
    <mergeCell ref="C144:I144"/>
    <mergeCell ref="C148:I148"/>
    <mergeCell ref="C149:I149"/>
    <mergeCell ref="C151:I151"/>
    <mergeCell ref="C155:I155"/>
    <mergeCell ref="C65:I65"/>
    <mergeCell ref="C69:I69"/>
    <mergeCell ref="C70:I70"/>
    <mergeCell ref="C71:I71"/>
    <mergeCell ref="C75:I75"/>
    <mergeCell ref="C76:I76"/>
    <mergeCell ref="C77:I77"/>
    <mergeCell ref="C81:I81"/>
    <mergeCell ref="C82:I82"/>
    <mergeCell ref="C83:I83"/>
    <mergeCell ref="C16:I16"/>
    <mergeCell ref="C22:I22"/>
    <mergeCell ref="C34:I34"/>
    <mergeCell ref="C40:I40"/>
    <mergeCell ref="C46:I46"/>
    <mergeCell ref="C52:I52"/>
    <mergeCell ref="C58:I58"/>
    <mergeCell ref="C68:I68"/>
    <mergeCell ref="C74:I74"/>
    <mergeCell ref="C80:I80"/>
    <mergeCell ref="C41:I41"/>
    <mergeCell ref="C42:I42"/>
    <mergeCell ref="C43:I43"/>
    <mergeCell ref="C47:I47"/>
    <mergeCell ref="C48:I48"/>
    <mergeCell ref="C49:I49"/>
    <mergeCell ref="C53:I53"/>
    <mergeCell ref="C54:I54"/>
    <mergeCell ref="C55:I55"/>
    <mergeCell ref="C3:I3"/>
    <mergeCell ref="C4:I4"/>
    <mergeCell ref="C5:I5"/>
    <mergeCell ref="C6:I6"/>
    <mergeCell ref="C7:I7"/>
    <mergeCell ref="A8:I8"/>
    <mergeCell ref="C17:I17"/>
    <mergeCell ref="C18:I18"/>
    <mergeCell ref="C19:I19"/>
    <mergeCell ref="C23:I23"/>
    <mergeCell ref="C24:I24"/>
    <mergeCell ref="C25:I25"/>
    <mergeCell ref="C35:I35"/>
    <mergeCell ref="C36:I36"/>
    <mergeCell ref="C37:I37"/>
    <mergeCell ref="A35:B35"/>
    <mergeCell ref="A36:B36"/>
    <mergeCell ref="A37:B37"/>
    <mergeCell ref="A24:B24"/>
    <mergeCell ref="A25:B25"/>
    <mergeCell ref="A16:B16"/>
    <mergeCell ref="A17:B17"/>
    <mergeCell ref="A34:B34"/>
    <mergeCell ref="A6:B6"/>
    <mergeCell ref="C423:I423"/>
    <mergeCell ref="C424:I424"/>
    <mergeCell ref="C425:I425"/>
    <mergeCell ref="C429:I429"/>
    <mergeCell ref="C430:I430"/>
    <mergeCell ref="C431:I431"/>
    <mergeCell ref="C435:I435"/>
    <mergeCell ref="C436:I436"/>
    <mergeCell ref="C437:I437"/>
    <mergeCell ref="C447:I447"/>
    <mergeCell ref="C448:I448"/>
    <mergeCell ref="C449:I449"/>
    <mergeCell ref="C453:I453"/>
    <mergeCell ref="C454:I454"/>
    <mergeCell ref="C455:I455"/>
    <mergeCell ref="A418:B418"/>
    <mergeCell ref="A436:B436"/>
    <mergeCell ref="A437:B437"/>
    <mergeCell ref="A446:B446"/>
    <mergeCell ref="A447:B447"/>
    <mergeCell ref="A448:B448"/>
    <mergeCell ref="A453:B453"/>
    <mergeCell ref="A957:B957"/>
    <mergeCell ref="A689:B689"/>
    <mergeCell ref="A690:B690"/>
    <mergeCell ref="A293:B293"/>
    <mergeCell ref="A294:B294"/>
    <mergeCell ref="A653:B653"/>
    <mergeCell ref="A654:B654"/>
    <mergeCell ref="A506:B506"/>
    <mergeCell ref="A397:B397"/>
    <mergeCell ref="A398:B398"/>
    <mergeCell ref="A62:B62"/>
    <mergeCell ref="A1012:B1012"/>
    <mergeCell ref="A401:B401"/>
    <mergeCell ref="A417:B417"/>
    <mergeCell ref="A505:B505"/>
    <mergeCell ref="A519:B519"/>
    <mergeCell ref="A521:B521"/>
    <mergeCell ref="A691:B691"/>
    <mergeCell ref="A692:B692"/>
    <mergeCell ref="A517:B517"/>
    <mergeCell ref="A518:B518"/>
    <mergeCell ref="A655:B655"/>
    <mergeCell ref="A656:B656"/>
    <mergeCell ref="A292:B292"/>
    <mergeCell ref="A270:B270"/>
    <mergeCell ref="A271:B271"/>
    <mergeCell ref="A739:B739"/>
    <mergeCell ref="A740:B740"/>
    <mergeCell ref="A733:B733"/>
    <mergeCell ref="A734:B734"/>
    <mergeCell ref="A370:B370"/>
    <mergeCell ref="A371:B371"/>
    <mergeCell ref="A920:B920"/>
    <mergeCell ref="A921:B921"/>
    <mergeCell ref="A743:B743"/>
    <mergeCell ref="A744:B744"/>
    <mergeCell ref="A601:B601"/>
    <mergeCell ref="A602:B602"/>
    <mergeCell ref="A918:B918"/>
    <mergeCell ref="A919:B919"/>
    <mergeCell ref="A614:B614"/>
    <mergeCell ref="A617:B617"/>
    <mergeCell ref="A618:B618"/>
    <mergeCell ref="C635:I635"/>
    <mergeCell ref="C641:I641"/>
    <mergeCell ref="C647:I647"/>
    <mergeCell ref="C653:I653"/>
    <mergeCell ref="C671:I671"/>
    <mergeCell ref="C677:I677"/>
    <mergeCell ref="C683:I683"/>
    <mergeCell ref="A625:B625"/>
    <mergeCell ref="A626:B626"/>
    <mergeCell ref="A619:B619"/>
    <mergeCell ref="A620:B620"/>
    <mergeCell ref="A623:B623"/>
    <mergeCell ref="A624:B624"/>
    <mergeCell ref="A613:B613"/>
    <mergeCell ref="A607:B607"/>
    <mergeCell ref="A608:B608"/>
    <mergeCell ref="A611:B611"/>
    <mergeCell ref="A612:B612"/>
    <mergeCell ref="C650:I650"/>
    <mergeCell ref="C654:I654"/>
    <mergeCell ref="C655:I655"/>
    <mergeCell ref="A278:B278"/>
    <mergeCell ref="A281:B281"/>
    <mergeCell ref="A284:B284"/>
    <mergeCell ref="A285:B285"/>
    <mergeCell ref="A511:B511"/>
    <mergeCell ref="A514:B514"/>
    <mergeCell ref="A556:B556"/>
    <mergeCell ref="A557:B557"/>
    <mergeCell ref="A572:B572"/>
    <mergeCell ref="A573:B573"/>
    <mergeCell ref="A276:B276"/>
    <mergeCell ref="A277:B277"/>
    <mergeCell ref="A595:B595"/>
    <mergeCell ref="A596:B596"/>
    <mergeCell ref="A509:B509"/>
    <mergeCell ref="A510:B510"/>
    <mergeCell ref="A593:B593"/>
    <mergeCell ref="A594:B594"/>
    <mergeCell ref="A574:B574"/>
    <mergeCell ref="A579:B579"/>
    <mergeCell ref="A419:B419"/>
    <mergeCell ref="A410:B410"/>
    <mergeCell ref="A412:B412"/>
    <mergeCell ref="A415:B415"/>
    <mergeCell ref="A416:B416"/>
    <mergeCell ref="A358:B358"/>
    <mergeCell ref="A359:B359"/>
    <mergeCell ref="A352:B352"/>
    <mergeCell ref="A393:B393"/>
    <mergeCell ref="A524:B524"/>
    <mergeCell ref="A525:B525"/>
    <mergeCell ref="A803:B803"/>
    <mergeCell ref="A804:B804"/>
    <mergeCell ref="A702:B702"/>
    <mergeCell ref="A703:B703"/>
    <mergeCell ref="A704:B704"/>
    <mergeCell ref="A679:B679"/>
    <mergeCell ref="A680:B680"/>
    <mergeCell ref="A683:B683"/>
    <mergeCell ref="A684:B684"/>
    <mergeCell ref="A685:B685"/>
    <mergeCell ref="A686:B686"/>
    <mergeCell ref="A695:B695"/>
    <mergeCell ref="A678:B678"/>
    <mergeCell ref="A286:B286"/>
    <mergeCell ref="A288:B288"/>
    <mergeCell ref="A599:B599"/>
    <mergeCell ref="A600:B600"/>
    <mergeCell ref="A737:B737"/>
    <mergeCell ref="A738:B738"/>
    <mergeCell ref="A745:B745"/>
    <mergeCell ref="A716:B716"/>
    <mergeCell ref="A605:B605"/>
    <mergeCell ref="A606:B606"/>
    <mergeCell ref="A538:B538"/>
    <mergeCell ref="A539:B539"/>
    <mergeCell ref="A583:B583"/>
    <mergeCell ref="A584:B584"/>
    <mergeCell ref="A590:B590"/>
    <mergeCell ref="A555:B555"/>
    <mergeCell ref="A532:B532"/>
    <mergeCell ref="A533:B533"/>
    <mergeCell ref="A536:B536"/>
    <mergeCell ref="A537:B537"/>
    <mergeCell ref="A526:B526"/>
    <mergeCell ref="A527:B527"/>
    <mergeCell ref="A530:B530"/>
    <mergeCell ref="A531:B531"/>
    <mergeCell ref="A806:B806"/>
    <mergeCell ref="A936:B936"/>
    <mergeCell ref="A780:B780"/>
    <mergeCell ref="A554:B554"/>
    <mergeCell ref="A399:B399"/>
    <mergeCell ref="A405:B405"/>
    <mergeCell ref="A408:B408"/>
    <mergeCell ref="A409:B409"/>
    <mergeCell ref="A400:B400"/>
    <mergeCell ref="A504:B504"/>
    <mergeCell ref="A781:B781"/>
    <mergeCell ref="A782:B782"/>
    <mergeCell ref="A809:B809"/>
    <mergeCell ref="A786:B786"/>
    <mergeCell ref="A787:B787"/>
    <mergeCell ref="A788:B788"/>
    <mergeCell ref="A361:B361"/>
    <mergeCell ref="A360:B360"/>
    <mergeCell ref="A867:B867"/>
    <mergeCell ref="A870:B870"/>
    <mergeCell ref="A871:B871"/>
    <mergeCell ref="A872:B872"/>
    <mergeCell ref="A873:B873"/>
    <mergeCell ref="A834:B834"/>
    <mergeCell ref="A835:B835"/>
    <mergeCell ref="A836:B836"/>
    <mergeCell ref="A746:B746"/>
    <mergeCell ref="A731:B731"/>
    <mergeCell ref="A732:B732"/>
    <mergeCell ref="A707:B707"/>
    <mergeCell ref="A708:B708"/>
    <mergeCell ref="A709:B709"/>
    <mergeCell ref="A710:B710"/>
    <mergeCell ref="A942:B942"/>
    <mergeCell ref="A943:B943"/>
    <mergeCell ref="A937:B937"/>
    <mergeCell ref="A938:B938"/>
    <mergeCell ref="A939:B939"/>
    <mergeCell ref="A779:B779"/>
    <mergeCell ref="A791:B791"/>
    <mergeCell ref="A792:B792"/>
    <mergeCell ref="A944:B944"/>
    <mergeCell ref="A1055:B1055"/>
    <mergeCell ref="A1052:B1052"/>
    <mergeCell ref="A1053:B1053"/>
    <mergeCell ref="A992:B992"/>
    <mergeCell ref="A993:B993"/>
    <mergeCell ref="A994:B994"/>
    <mergeCell ref="A945:B945"/>
    <mergeCell ref="A503:B503"/>
    <mergeCell ref="A900:B900"/>
    <mergeCell ref="A901:B901"/>
    <mergeCell ref="A902:B902"/>
    <mergeCell ref="A903:B903"/>
    <mergeCell ref="A858:B858"/>
    <mergeCell ref="A859:B859"/>
    <mergeCell ref="A883:B883"/>
    <mergeCell ref="A884:B884"/>
    <mergeCell ref="A885:B885"/>
    <mergeCell ref="A888:B888"/>
    <mergeCell ref="A860:B860"/>
    <mergeCell ref="A861:B861"/>
    <mergeCell ref="A864:B864"/>
    <mergeCell ref="A865:B865"/>
    <mergeCell ref="A866:B866"/>
    <mergeCell ref="A353:B353"/>
    <mergeCell ref="A354:B354"/>
    <mergeCell ref="A355:B355"/>
    <mergeCell ref="A999:B999"/>
    <mergeCell ref="A1000:B1000"/>
    <mergeCell ref="A1064:B1064"/>
    <mergeCell ref="A1065:B1065"/>
    <mergeCell ref="A1066:B1066"/>
    <mergeCell ref="A1067:B1067"/>
    <mergeCell ref="A998:B998"/>
    <mergeCell ref="A1054:B1054"/>
    <mergeCell ref="A894:B894"/>
    <mergeCell ref="A895:B895"/>
    <mergeCell ref="A810:B810"/>
    <mergeCell ref="A811:B811"/>
    <mergeCell ref="A812:B812"/>
    <mergeCell ref="A785:B785"/>
    <mergeCell ref="A896:B896"/>
    <mergeCell ref="A897:B897"/>
    <mergeCell ref="A852:B852"/>
    <mergeCell ref="A889:B889"/>
    <mergeCell ref="A890:B890"/>
    <mergeCell ref="A891:B891"/>
    <mergeCell ref="A854:B854"/>
    <mergeCell ref="A855:B855"/>
    <mergeCell ref="A876:B876"/>
    <mergeCell ref="A877:B877"/>
    <mergeCell ref="A878:B878"/>
    <mergeCell ref="A879:B879"/>
    <mergeCell ref="A882:B882"/>
    <mergeCell ref="A853:B853"/>
    <mergeCell ref="A805:B805"/>
    <mergeCell ref="A721:B721"/>
    <mergeCell ref="A722:B722"/>
    <mergeCell ref="A827:B827"/>
    <mergeCell ref="C749:I749"/>
    <mergeCell ref="A729:I729"/>
    <mergeCell ref="A753:I753"/>
    <mergeCell ref="A747:I747"/>
    <mergeCell ref="A735:I735"/>
    <mergeCell ref="A741:I741"/>
    <mergeCell ref="A831:I831"/>
    <mergeCell ref="C751:I751"/>
    <mergeCell ref="C752:I752"/>
    <mergeCell ref="C744:I744"/>
    <mergeCell ref="A828:B828"/>
    <mergeCell ref="A829:B829"/>
    <mergeCell ref="A830:B830"/>
    <mergeCell ref="A833:B833"/>
    <mergeCell ref="A725:B725"/>
    <mergeCell ref="A726:B726"/>
    <mergeCell ref="A727:B727"/>
    <mergeCell ref="A728:B728"/>
    <mergeCell ref="A749:B749"/>
    <mergeCell ref="A750:B750"/>
    <mergeCell ref="A751:B751"/>
    <mergeCell ref="A752:B752"/>
    <mergeCell ref="C755:I755"/>
    <mergeCell ref="A800:B800"/>
    <mergeCell ref="C810:I810"/>
    <mergeCell ref="C811:I811"/>
    <mergeCell ref="A641:B641"/>
    <mergeCell ref="A642:B642"/>
    <mergeCell ref="A696:B696"/>
    <mergeCell ref="A697:B697"/>
    <mergeCell ref="A698:B698"/>
    <mergeCell ref="A701:B701"/>
    <mergeCell ref="A643:B643"/>
    <mergeCell ref="A644:B644"/>
    <mergeCell ref="A647:B647"/>
    <mergeCell ref="A648:B648"/>
    <mergeCell ref="A649:B649"/>
    <mergeCell ref="A650:B650"/>
    <mergeCell ref="A671:B671"/>
    <mergeCell ref="A672:B672"/>
    <mergeCell ref="A673:B673"/>
    <mergeCell ref="A674:B674"/>
    <mergeCell ref="A249:B249"/>
    <mergeCell ref="A252:B252"/>
    <mergeCell ref="A636:B636"/>
    <mergeCell ref="A637:B637"/>
    <mergeCell ref="A638:B638"/>
    <mergeCell ref="A254:B254"/>
    <mergeCell ref="A255:B255"/>
    <mergeCell ref="A258:B258"/>
    <mergeCell ref="A259:B259"/>
    <mergeCell ref="A260:B260"/>
    <mergeCell ref="A261:B261"/>
    <mergeCell ref="A629:B629"/>
    <mergeCell ref="A253:B253"/>
    <mergeCell ref="A550:B550"/>
    <mergeCell ref="A551:B551"/>
    <mergeCell ref="A364:B364"/>
    <mergeCell ref="A234:B234"/>
    <mergeCell ref="A235:B235"/>
    <mergeCell ref="A630:B630"/>
    <mergeCell ref="A631:B631"/>
    <mergeCell ref="A632:B632"/>
    <mergeCell ref="A635:B635"/>
    <mergeCell ref="A236:B236"/>
    <mergeCell ref="A237:B237"/>
    <mergeCell ref="A240:B240"/>
    <mergeCell ref="A241:B241"/>
    <mergeCell ref="A242:B242"/>
    <mergeCell ref="A243:B243"/>
    <mergeCell ref="A246:B246"/>
    <mergeCell ref="A247:B247"/>
    <mergeCell ref="A248:B248"/>
    <mergeCell ref="A210:B210"/>
    <mergeCell ref="A224:B224"/>
    <mergeCell ref="A225:B225"/>
    <mergeCell ref="A228:B228"/>
    <mergeCell ref="A229:B229"/>
    <mergeCell ref="A230:B230"/>
    <mergeCell ref="A231:B231"/>
    <mergeCell ref="A212:B212"/>
    <mergeCell ref="A213:B213"/>
    <mergeCell ref="A216:B216"/>
    <mergeCell ref="A217:B217"/>
    <mergeCell ref="A218:B218"/>
    <mergeCell ref="A219:B219"/>
    <mergeCell ref="A222:B222"/>
    <mergeCell ref="A211:B211"/>
    <mergeCell ref="A548:B548"/>
    <mergeCell ref="A549:B549"/>
    <mergeCell ref="A204:B204"/>
    <mergeCell ref="A205:B205"/>
    <mergeCell ref="A206:B206"/>
    <mergeCell ref="A207:B207"/>
    <mergeCell ref="C198:I198"/>
    <mergeCell ref="C204:I204"/>
    <mergeCell ref="A193:B193"/>
    <mergeCell ref="A151:B151"/>
    <mergeCell ref="A154:B154"/>
    <mergeCell ref="A155:B155"/>
    <mergeCell ref="A156:B156"/>
    <mergeCell ref="A168:B168"/>
    <mergeCell ref="A170:B170"/>
    <mergeCell ref="A173:B173"/>
    <mergeCell ref="A174:B174"/>
    <mergeCell ref="A175:B175"/>
    <mergeCell ref="A177:B177"/>
    <mergeCell ref="A163:B163"/>
    <mergeCell ref="A166:B166"/>
    <mergeCell ref="A167:B167"/>
    <mergeCell ref="A157:B157"/>
    <mergeCell ref="A160:B160"/>
    <mergeCell ref="A161:B161"/>
    <mergeCell ref="A162:B162"/>
    <mergeCell ref="A180:B180"/>
    <mergeCell ref="A192:B192"/>
    <mergeCell ref="A176:B176"/>
    <mergeCell ref="C188:I188"/>
    <mergeCell ref="A169:B169"/>
    <mergeCell ref="C157:I157"/>
    <mergeCell ref="C161:I161"/>
    <mergeCell ref="C162:I162"/>
    <mergeCell ref="C189:I189"/>
    <mergeCell ref="A223:B223"/>
    <mergeCell ref="A194:B194"/>
    <mergeCell ref="A195:B195"/>
    <mergeCell ref="A118:B118"/>
    <mergeCell ref="A148:B148"/>
    <mergeCell ref="A137:B137"/>
    <mergeCell ref="A138:B138"/>
    <mergeCell ref="A141:B141"/>
    <mergeCell ref="A147:B147"/>
    <mergeCell ref="A181:B181"/>
    <mergeCell ref="A182:B182"/>
    <mergeCell ref="A183:B183"/>
    <mergeCell ref="A186:B186"/>
    <mergeCell ref="A187:B187"/>
    <mergeCell ref="A188:B188"/>
    <mergeCell ref="A189:B189"/>
    <mergeCell ref="A149:B149"/>
    <mergeCell ref="A143:B143"/>
    <mergeCell ref="A144:B144"/>
    <mergeCell ref="A119:B119"/>
    <mergeCell ref="A120:B120"/>
    <mergeCell ref="A129:B129"/>
    <mergeCell ref="A130:B130"/>
    <mergeCell ref="A131:B131"/>
    <mergeCell ref="A132:B132"/>
    <mergeCell ref="A135:B135"/>
    <mergeCell ref="A136:B136"/>
    <mergeCell ref="A198:B198"/>
    <mergeCell ref="A199:B199"/>
    <mergeCell ref="A200:B200"/>
    <mergeCell ref="A201:B201"/>
    <mergeCell ref="A117:B117"/>
    <mergeCell ref="A142:B142"/>
    <mergeCell ref="A76:B76"/>
    <mergeCell ref="A77:B77"/>
    <mergeCell ref="A80:B80"/>
    <mergeCell ref="A81:B81"/>
    <mergeCell ref="A82:B82"/>
    <mergeCell ref="A83:B83"/>
    <mergeCell ref="A88:B88"/>
    <mergeCell ref="A89:B89"/>
    <mergeCell ref="A92:B92"/>
    <mergeCell ref="A113:B113"/>
    <mergeCell ref="A93:B93"/>
    <mergeCell ref="A94:B94"/>
    <mergeCell ref="A95:B95"/>
    <mergeCell ref="A86:B86"/>
    <mergeCell ref="A114:B114"/>
    <mergeCell ref="A48:B48"/>
    <mergeCell ref="A49:B49"/>
    <mergeCell ref="A52:B52"/>
    <mergeCell ref="A53:B53"/>
    <mergeCell ref="A59:B59"/>
    <mergeCell ref="A55:B55"/>
    <mergeCell ref="A58:B58"/>
    <mergeCell ref="A63:B63"/>
    <mergeCell ref="A98:B98"/>
    <mergeCell ref="A99:B99"/>
    <mergeCell ref="A102:B102"/>
    <mergeCell ref="A105:B105"/>
    <mergeCell ref="A106:B106"/>
    <mergeCell ref="A107:B107"/>
    <mergeCell ref="A108:B108"/>
    <mergeCell ref="A111:B111"/>
    <mergeCell ref="A112:B112"/>
    <mergeCell ref="A61:B61"/>
    <mergeCell ref="A3:B3"/>
    <mergeCell ref="A4:B4"/>
    <mergeCell ref="A5:B5"/>
    <mergeCell ref="A7:B7"/>
    <mergeCell ref="A18:B18"/>
    <mergeCell ref="A19:B19"/>
    <mergeCell ref="A22:B22"/>
    <mergeCell ref="A23:B23"/>
    <mergeCell ref="A986:B986"/>
    <mergeCell ref="A799:B799"/>
    <mergeCell ref="A1019:B1019"/>
    <mergeCell ref="A1048:B1048"/>
    <mergeCell ref="A1049:B1049"/>
    <mergeCell ref="A1035:B1035"/>
    <mergeCell ref="A1036:B1036"/>
    <mergeCell ref="A1046:B1046"/>
    <mergeCell ref="A1037:B1037"/>
    <mergeCell ref="A582:B582"/>
    <mergeCell ref="A755:B755"/>
    <mergeCell ref="A756:B756"/>
    <mergeCell ref="A757:B757"/>
    <mergeCell ref="A758:B758"/>
    <mergeCell ref="A264:B264"/>
    <mergeCell ref="A265:B265"/>
    <mergeCell ref="A266:B266"/>
    <mergeCell ref="A267:B267"/>
    <mergeCell ref="A40:B40"/>
    <mergeCell ref="A41:B41"/>
    <mergeCell ref="A87:B87"/>
    <mergeCell ref="A60:B60"/>
    <mergeCell ref="A70:B70"/>
    <mergeCell ref="A71:B71"/>
    <mergeCell ref="A467:B467"/>
    <mergeCell ref="A431:B431"/>
    <mergeCell ref="A434:B434"/>
    <mergeCell ref="A435:B435"/>
    <mergeCell ref="C1049:I1049"/>
    <mergeCell ref="A1022:B1022"/>
    <mergeCell ref="A1023:B1023"/>
    <mergeCell ref="A1024:B1024"/>
    <mergeCell ref="A1025:B1025"/>
    <mergeCell ref="A1034:B1034"/>
    <mergeCell ref="A793:B793"/>
    <mergeCell ref="A794:B794"/>
    <mergeCell ref="A797:B797"/>
    <mergeCell ref="A798:B798"/>
    <mergeCell ref="A1011:B1011"/>
    <mergeCell ref="A1005:B1005"/>
    <mergeCell ref="A1013:B1013"/>
    <mergeCell ref="A1016:B1016"/>
    <mergeCell ref="A1017:B1017"/>
    <mergeCell ref="A1018:B1018"/>
    <mergeCell ref="A1010:B1010"/>
    <mergeCell ref="A815:B815"/>
    <mergeCell ref="A816:B816"/>
    <mergeCell ref="A817:B817"/>
    <mergeCell ref="A956:B956"/>
    <mergeCell ref="A958:B958"/>
    <mergeCell ref="A985:B985"/>
    <mergeCell ref="A991:B991"/>
    <mergeCell ref="A987:B987"/>
    <mergeCell ref="A988:B988"/>
    <mergeCell ref="A845:B845"/>
    <mergeCell ref="A846:B846"/>
    <mergeCell ref="A429:B429"/>
    <mergeCell ref="A430:B430"/>
    <mergeCell ref="A459:B459"/>
    <mergeCell ref="A460:B460"/>
    <mergeCell ref="A365:B365"/>
    <mergeCell ref="A366:B366"/>
    <mergeCell ref="A376:B376"/>
    <mergeCell ref="A367:B367"/>
    <mergeCell ref="A379:B379"/>
    <mergeCell ref="A380:B380"/>
    <mergeCell ref="A776:B776"/>
    <mergeCell ref="A489:B489"/>
    <mergeCell ref="A490:B490"/>
    <mergeCell ref="A491:B491"/>
    <mergeCell ref="A494:B494"/>
    <mergeCell ref="A761:B761"/>
    <mergeCell ref="A762:B762"/>
    <mergeCell ref="A763:B763"/>
    <mergeCell ref="A764:B764"/>
    <mergeCell ref="A767:B767"/>
    <mergeCell ref="A768:B768"/>
    <mergeCell ref="A769:B769"/>
    <mergeCell ref="A770:B770"/>
    <mergeCell ref="A677:B677"/>
    <mergeCell ref="A381:B381"/>
    <mergeCell ref="A369:B369"/>
    <mergeCell ref="A368:B368"/>
    <mergeCell ref="A382:B382"/>
    <mergeCell ref="A461:B461"/>
    <mergeCell ref="A464:B464"/>
    <mergeCell ref="A465:B465"/>
    <mergeCell ref="A575:B575"/>
    <mergeCell ref="A316:B316"/>
    <mergeCell ref="C316:I316"/>
    <mergeCell ref="A317:B317"/>
    <mergeCell ref="C317:I317"/>
    <mergeCell ref="A318:B318"/>
    <mergeCell ref="C318:I318"/>
    <mergeCell ref="A297:B297"/>
    <mergeCell ref="A298:B298"/>
    <mergeCell ref="A299:B299"/>
    <mergeCell ref="A301:B301"/>
    <mergeCell ref="A773:B773"/>
    <mergeCell ref="A774:B774"/>
    <mergeCell ref="A775:B775"/>
    <mergeCell ref="A466:B466"/>
    <mergeCell ref="A849:B849"/>
    <mergeCell ref="A906:B906"/>
    <mergeCell ref="A907:B907"/>
    <mergeCell ref="A566:B566"/>
    <mergeCell ref="A567:B567"/>
    <mergeCell ref="A568:B568"/>
    <mergeCell ref="A818:B818"/>
    <mergeCell ref="A821:B821"/>
    <mergeCell ref="A822:B822"/>
    <mergeCell ref="A823:B823"/>
    <mergeCell ref="A824:B824"/>
    <mergeCell ref="A455:B455"/>
    <mergeCell ref="A569:B569"/>
    <mergeCell ref="A422:B422"/>
    <mergeCell ref="A423:B423"/>
    <mergeCell ref="A424:B424"/>
    <mergeCell ref="A425:B425"/>
    <mergeCell ref="A428:B428"/>
    <mergeCell ref="C563:I563"/>
    <mergeCell ref="A564:I564"/>
    <mergeCell ref="C585:I585"/>
    <mergeCell ref="C586:I586"/>
    <mergeCell ref="A585:B585"/>
    <mergeCell ref="A586:B586"/>
    <mergeCell ref="A279:B279"/>
    <mergeCell ref="A458:B458"/>
    <mergeCell ref="A372:B372"/>
    <mergeCell ref="A373:B373"/>
    <mergeCell ref="A374:B374"/>
    <mergeCell ref="A449:B449"/>
    <mergeCell ref="A452:B452"/>
    <mergeCell ref="A454:B454"/>
    <mergeCell ref="A542:B542"/>
    <mergeCell ref="C542:I542"/>
    <mergeCell ref="A543:B543"/>
    <mergeCell ref="C543:I543"/>
    <mergeCell ref="A544:B544"/>
    <mergeCell ref="C544:I544"/>
    <mergeCell ref="A545:B545"/>
    <mergeCell ref="C545:I545"/>
    <mergeCell ref="A546:I546"/>
    <mergeCell ref="A310:B310"/>
    <mergeCell ref="C310:I310"/>
    <mergeCell ref="A311:B311"/>
    <mergeCell ref="C311:I311"/>
    <mergeCell ref="A312:B312"/>
    <mergeCell ref="C312:I312"/>
    <mergeCell ref="A313:B313"/>
    <mergeCell ref="C313:I313"/>
    <mergeCell ref="A314:I314"/>
    <mergeCell ref="C29:I29"/>
    <mergeCell ref="A30:B30"/>
    <mergeCell ref="C30:I30"/>
    <mergeCell ref="A31:B31"/>
    <mergeCell ref="C31:I31"/>
    <mergeCell ref="A32:I32"/>
    <mergeCell ref="A100:B100"/>
    <mergeCell ref="C100:I100"/>
    <mergeCell ref="A304:B304"/>
    <mergeCell ref="C304:I304"/>
    <mergeCell ref="A305:B305"/>
    <mergeCell ref="C305:I305"/>
    <mergeCell ref="A306:B306"/>
    <mergeCell ref="C306:I306"/>
    <mergeCell ref="A307:B307"/>
    <mergeCell ref="C307:I307"/>
    <mergeCell ref="A308:I308"/>
    <mergeCell ref="A74:B74"/>
    <mergeCell ref="A75:B75"/>
    <mergeCell ref="A54:B54"/>
    <mergeCell ref="C59:I59"/>
    <mergeCell ref="C60:I60"/>
    <mergeCell ref="C61:I61"/>
    <mergeCell ref="C62:I62"/>
    <mergeCell ref="C63:I63"/>
    <mergeCell ref="A65:B65"/>
    <mergeCell ref="A68:B68"/>
    <mergeCell ref="A69:B69"/>
    <mergeCell ref="A42:B42"/>
    <mergeCell ref="A43:B43"/>
    <mergeCell ref="A46:B46"/>
    <mergeCell ref="A47:B47"/>
    <mergeCell ref="A319:B319"/>
    <mergeCell ref="C319:I319"/>
    <mergeCell ref="A320:I320"/>
    <mergeCell ref="A123:B123"/>
    <mergeCell ref="C123:I123"/>
    <mergeCell ref="A124:B124"/>
    <mergeCell ref="C124:I124"/>
    <mergeCell ref="A125:B125"/>
    <mergeCell ref="C125:I125"/>
    <mergeCell ref="A126:B126"/>
    <mergeCell ref="C126:I126"/>
    <mergeCell ref="A127:I127"/>
    <mergeCell ref="A150:B150"/>
    <mergeCell ref="C150:I150"/>
    <mergeCell ref="A10:B10"/>
    <mergeCell ref="C10:I10"/>
    <mergeCell ref="A11:B11"/>
    <mergeCell ref="C11:I11"/>
    <mergeCell ref="A12:B12"/>
    <mergeCell ref="C12:I12"/>
    <mergeCell ref="A13:B13"/>
    <mergeCell ref="C13:I13"/>
    <mergeCell ref="A14:I14"/>
    <mergeCell ref="A64:B64"/>
    <mergeCell ref="C64:I64"/>
    <mergeCell ref="A280:B280"/>
    <mergeCell ref="C280:I280"/>
    <mergeCell ref="A287:B287"/>
    <mergeCell ref="C287:I287"/>
    <mergeCell ref="A28:B28"/>
    <mergeCell ref="C28:I28"/>
    <mergeCell ref="A29:B29"/>
    <mergeCell ref="A322:B322"/>
    <mergeCell ref="C322:I322"/>
    <mergeCell ref="A323:B323"/>
    <mergeCell ref="C323:I323"/>
    <mergeCell ref="A324:B324"/>
    <mergeCell ref="C324:I324"/>
    <mergeCell ref="A325:B325"/>
    <mergeCell ref="C325:I325"/>
    <mergeCell ref="A326:I326"/>
    <mergeCell ref="A328:B328"/>
    <mergeCell ref="C328:I328"/>
    <mergeCell ref="A329:B329"/>
    <mergeCell ref="C329:I329"/>
    <mergeCell ref="A330:B330"/>
    <mergeCell ref="C330:I330"/>
    <mergeCell ref="A331:B331"/>
    <mergeCell ref="C331:I331"/>
    <mergeCell ref="A342:B342"/>
    <mergeCell ref="C342:I342"/>
    <mergeCell ref="A343:B343"/>
    <mergeCell ref="C343:I343"/>
    <mergeCell ref="A344:I344"/>
    <mergeCell ref="A346:B346"/>
    <mergeCell ref="C346:I346"/>
    <mergeCell ref="A347:B347"/>
    <mergeCell ref="C347:I347"/>
    <mergeCell ref="A348:B348"/>
    <mergeCell ref="C348:I348"/>
    <mergeCell ref="A349:B349"/>
    <mergeCell ref="C349:I349"/>
    <mergeCell ref="A350:I350"/>
    <mergeCell ref="A659:B659"/>
    <mergeCell ref="C659:I659"/>
    <mergeCell ref="A660:B660"/>
    <mergeCell ref="C660:I660"/>
    <mergeCell ref="A587:B587"/>
    <mergeCell ref="A576:B576"/>
    <mergeCell ref="C576:I576"/>
    <mergeCell ref="A577:B577"/>
    <mergeCell ref="C577:I577"/>
    <mergeCell ref="A578:B578"/>
    <mergeCell ref="C578:I578"/>
    <mergeCell ref="A560:B560"/>
    <mergeCell ref="C560:I560"/>
    <mergeCell ref="A561:B561"/>
    <mergeCell ref="C561:I561"/>
    <mergeCell ref="A562:B562"/>
    <mergeCell ref="C562:I562"/>
    <mergeCell ref="A563:B563"/>
    <mergeCell ref="A661:B661"/>
    <mergeCell ref="C661:I661"/>
    <mergeCell ref="A662:B662"/>
    <mergeCell ref="C662:I662"/>
    <mergeCell ref="A663:I663"/>
    <mergeCell ref="A1130:B1130"/>
    <mergeCell ref="C1130:I1130"/>
    <mergeCell ref="A1131:B1131"/>
    <mergeCell ref="C1131:I1131"/>
    <mergeCell ref="A1132:B1132"/>
    <mergeCell ref="C1132:I1132"/>
    <mergeCell ref="A1133:B1133"/>
    <mergeCell ref="C1133:I1133"/>
    <mergeCell ref="A1134:I1134"/>
    <mergeCell ref="A1136:B1136"/>
    <mergeCell ref="C1136:I1136"/>
    <mergeCell ref="A1137:B1137"/>
    <mergeCell ref="C1137:I1137"/>
    <mergeCell ref="A908:B908"/>
    <mergeCell ref="A909:B909"/>
    <mergeCell ref="A847:B847"/>
    <mergeCell ref="A1076:B1076"/>
    <mergeCell ref="A1077:B1077"/>
    <mergeCell ref="A1078:B1078"/>
    <mergeCell ref="A1079:B1079"/>
    <mergeCell ref="A997:B997"/>
    <mergeCell ref="A1047:B1047"/>
    <mergeCell ref="C827:I827"/>
    <mergeCell ref="C833:I833"/>
    <mergeCell ref="C858:I858"/>
    <mergeCell ref="A719:B719"/>
    <mergeCell ref="A720:B720"/>
    <mergeCell ref="A1138:B1138"/>
    <mergeCell ref="C1138:I1138"/>
    <mergeCell ref="A1139:B1139"/>
    <mergeCell ref="C1139:I1139"/>
    <mergeCell ref="A1140:I1140"/>
    <mergeCell ref="A1142:B1142"/>
    <mergeCell ref="C1142:I1142"/>
    <mergeCell ref="A1143:B1143"/>
    <mergeCell ref="C1143:I1143"/>
    <mergeCell ref="A1144:B1144"/>
    <mergeCell ref="C1144:I1144"/>
    <mergeCell ref="A1145:B1145"/>
    <mergeCell ref="C1145:I1145"/>
    <mergeCell ref="A1146:I1146"/>
    <mergeCell ref="A1148:B1148"/>
    <mergeCell ref="C1148:I1148"/>
    <mergeCell ref="A1149:B1149"/>
    <mergeCell ref="C1149:I1149"/>
    <mergeCell ref="A1173:B1173"/>
    <mergeCell ref="C1173:I1173"/>
    <mergeCell ref="A1150:B1150"/>
    <mergeCell ref="C1150:I1150"/>
    <mergeCell ref="A1151:B1151"/>
    <mergeCell ref="C1151:I1151"/>
    <mergeCell ref="A1152:I1152"/>
    <mergeCell ref="A1154:B1154"/>
    <mergeCell ref="C1154:I1154"/>
    <mergeCell ref="A1155:B1155"/>
    <mergeCell ref="C1155:I1155"/>
    <mergeCell ref="A1156:B1156"/>
    <mergeCell ref="C1156:I1156"/>
    <mergeCell ref="A1157:B1157"/>
    <mergeCell ref="C1157:I1157"/>
    <mergeCell ref="A1158:I1158"/>
    <mergeCell ref="A1160:B1160"/>
    <mergeCell ref="C1160:I1160"/>
    <mergeCell ref="A1161:B1161"/>
    <mergeCell ref="C1161:I1161"/>
    <mergeCell ref="A1174:B1174"/>
    <mergeCell ref="C1174:I1174"/>
    <mergeCell ref="A1175:B1175"/>
    <mergeCell ref="C1175:I1175"/>
    <mergeCell ref="A1176:I1176"/>
    <mergeCell ref="A1178:B1178"/>
    <mergeCell ref="C1178:I1178"/>
    <mergeCell ref="A1179:B1179"/>
    <mergeCell ref="C1179:I1179"/>
    <mergeCell ref="A1182:B1182"/>
    <mergeCell ref="C1182:I1182"/>
    <mergeCell ref="A1183:I1183"/>
    <mergeCell ref="A1185:B1185"/>
    <mergeCell ref="C1185:I1185"/>
    <mergeCell ref="A1186:B1186"/>
    <mergeCell ref="C1186:I1186"/>
    <mergeCell ref="A1162:B1162"/>
    <mergeCell ref="C1162:I1162"/>
    <mergeCell ref="A1163:B1163"/>
    <mergeCell ref="C1163:I1163"/>
    <mergeCell ref="A1164:I1164"/>
    <mergeCell ref="A1166:B1166"/>
    <mergeCell ref="C1166:I1166"/>
    <mergeCell ref="A1167:B1167"/>
    <mergeCell ref="C1167:I1167"/>
    <mergeCell ref="A1168:B1168"/>
    <mergeCell ref="C1168:I1168"/>
    <mergeCell ref="A1169:B1169"/>
    <mergeCell ref="C1169:I1169"/>
    <mergeCell ref="A1170:I1170"/>
    <mergeCell ref="A1172:B1172"/>
    <mergeCell ref="C1172:I1172"/>
    <mergeCell ref="A1187:B1187"/>
    <mergeCell ref="C1187:I1187"/>
    <mergeCell ref="A1188:B1188"/>
    <mergeCell ref="C1188:I1188"/>
    <mergeCell ref="A1189:I1189"/>
    <mergeCell ref="A1191:B1191"/>
    <mergeCell ref="C1191:I1191"/>
    <mergeCell ref="A1192:B1192"/>
    <mergeCell ref="C1192:I1192"/>
    <mergeCell ref="A1193:B1193"/>
    <mergeCell ref="C1193:I1193"/>
    <mergeCell ref="A1194:B1194"/>
    <mergeCell ref="C1194:I1194"/>
    <mergeCell ref="A1195:I1195"/>
    <mergeCell ref="A1197:B1197"/>
    <mergeCell ref="C1197:I1197"/>
    <mergeCell ref="A1198:B1198"/>
    <mergeCell ref="C1198:I1198"/>
    <mergeCell ref="A1220:I1220"/>
    <mergeCell ref="A1222:B1222"/>
    <mergeCell ref="C1222:I1222"/>
    <mergeCell ref="A1204:B1204"/>
    <mergeCell ref="C1204:I1204"/>
    <mergeCell ref="A1207:B1207"/>
    <mergeCell ref="C1207:I1207"/>
    <mergeCell ref="A1208:I1208"/>
    <mergeCell ref="A1199:B1199"/>
    <mergeCell ref="C1199:I1199"/>
    <mergeCell ref="A1200:B1200"/>
    <mergeCell ref="C1200:I1200"/>
    <mergeCell ref="A1201:B1201"/>
    <mergeCell ref="C1201:I1201"/>
    <mergeCell ref="A1202:B1202"/>
    <mergeCell ref="C1202:I1202"/>
    <mergeCell ref="A1203:B1203"/>
    <mergeCell ref="C1203:I1203"/>
    <mergeCell ref="A1210:B1210"/>
    <mergeCell ref="C1210:I1210"/>
    <mergeCell ref="A1223:B1223"/>
    <mergeCell ref="C1223:I1223"/>
    <mergeCell ref="A1224:B1224"/>
    <mergeCell ref="C1224:I1224"/>
    <mergeCell ref="A1225:B1225"/>
    <mergeCell ref="C1225:I1225"/>
    <mergeCell ref="A1226:I1226"/>
    <mergeCell ref="A1205:B1205"/>
    <mergeCell ref="C1205:I1205"/>
    <mergeCell ref="A1206:B1206"/>
    <mergeCell ref="C1206:I1206"/>
    <mergeCell ref="A1228:B1228"/>
    <mergeCell ref="C1228:I1228"/>
    <mergeCell ref="A1229:B1229"/>
    <mergeCell ref="C1229:I1229"/>
    <mergeCell ref="A1230:B1230"/>
    <mergeCell ref="C1230:I1230"/>
    <mergeCell ref="A1211:B1211"/>
    <mergeCell ref="C1211:I1211"/>
    <mergeCell ref="A1212:B1212"/>
    <mergeCell ref="C1212:I1212"/>
    <mergeCell ref="A1213:B1213"/>
    <mergeCell ref="C1213:I1213"/>
    <mergeCell ref="A1214:I1214"/>
    <mergeCell ref="A1216:B1216"/>
    <mergeCell ref="C1216:I1216"/>
    <mergeCell ref="A1217:B1217"/>
    <mergeCell ref="C1217:I1217"/>
    <mergeCell ref="A1218:B1218"/>
    <mergeCell ref="C1218:I1218"/>
    <mergeCell ref="A1219:B1219"/>
    <mergeCell ref="C1219:I1219"/>
    <mergeCell ref="A1231:B1231"/>
    <mergeCell ref="C1231:I1231"/>
    <mergeCell ref="A1232:I1232"/>
    <mergeCell ref="A1234:B1234"/>
    <mergeCell ref="C1234:I1234"/>
    <mergeCell ref="A1235:B1235"/>
    <mergeCell ref="C1235:I1235"/>
    <mergeCell ref="A1236:B1236"/>
    <mergeCell ref="C1236:I1236"/>
    <mergeCell ref="A1237:B1237"/>
    <mergeCell ref="C1237:I1237"/>
    <mergeCell ref="A1238:I1238"/>
    <mergeCell ref="A1240:B1240"/>
    <mergeCell ref="C1240:I1240"/>
    <mergeCell ref="A1241:B1241"/>
    <mergeCell ref="C1241:I1241"/>
    <mergeCell ref="A1242:B1242"/>
    <mergeCell ref="C1242:I1242"/>
    <mergeCell ref="A1265:B1265"/>
    <mergeCell ref="C1265:I1265"/>
    <mergeCell ref="A1266:B1266"/>
    <mergeCell ref="C1266:I1266"/>
    <mergeCell ref="A1243:B1243"/>
    <mergeCell ref="C1243:I1243"/>
    <mergeCell ref="A1244:I1244"/>
    <mergeCell ref="A1246:B1246"/>
    <mergeCell ref="C1246:I1246"/>
    <mergeCell ref="A1247:B1247"/>
    <mergeCell ref="C1247:I1247"/>
    <mergeCell ref="A1248:B1248"/>
    <mergeCell ref="C1248:I1248"/>
    <mergeCell ref="A1249:B1249"/>
    <mergeCell ref="C1249:I1249"/>
    <mergeCell ref="A1250:I1250"/>
    <mergeCell ref="A1252:B1252"/>
    <mergeCell ref="C1252:I1252"/>
    <mergeCell ref="A1253:B1253"/>
    <mergeCell ref="C1253:I1253"/>
    <mergeCell ref="A1254:B1254"/>
    <mergeCell ref="C1254:I1254"/>
    <mergeCell ref="A1267:B1267"/>
    <mergeCell ref="C1267:I1267"/>
    <mergeCell ref="A1268:I1268"/>
    <mergeCell ref="A1180:B1180"/>
    <mergeCell ref="C1180:I1180"/>
    <mergeCell ref="A1181:B1181"/>
    <mergeCell ref="C1181:I1181"/>
    <mergeCell ref="A1270:B1270"/>
    <mergeCell ref="C1270:I1270"/>
    <mergeCell ref="A1271:B1271"/>
    <mergeCell ref="C1271:I1271"/>
    <mergeCell ref="A1272:B1272"/>
    <mergeCell ref="C1272:I1272"/>
    <mergeCell ref="A1273:B1273"/>
    <mergeCell ref="C1273:I1273"/>
    <mergeCell ref="A1274:I1274"/>
    <mergeCell ref="A1276:B1276"/>
    <mergeCell ref="C1276:I1276"/>
    <mergeCell ref="A1255:B1255"/>
    <mergeCell ref="C1255:I1255"/>
    <mergeCell ref="A1256:I1256"/>
    <mergeCell ref="A1258:B1258"/>
    <mergeCell ref="C1258:I1258"/>
    <mergeCell ref="A1259:B1259"/>
    <mergeCell ref="C1259:I1259"/>
    <mergeCell ref="A1260:B1260"/>
    <mergeCell ref="C1260:I1260"/>
    <mergeCell ref="A1261:B1261"/>
    <mergeCell ref="C1261:I1261"/>
    <mergeCell ref="A1262:I1262"/>
    <mergeCell ref="A1264:B1264"/>
    <mergeCell ref="C1264:I1264"/>
    <mergeCell ref="A1277:B1277"/>
    <mergeCell ref="C1277:I1277"/>
    <mergeCell ref="A1278:B1278"/>
    <mergeCell ref="C1278:I1278"/>
    <mergeCell ref="A1279:B1279"/>
    <mergeCell ref="C1279:I1279"/>
    <mergeCell ref="A1280:I1280"/>
    <mergeCell ref="A1282:B1282"/>
    <mergeCell ref="C1282:I1282"/>
    <mergeCell ref="A1283:B1283"/>
    <mergeCell ref="C1283:I1283"/>
    <mergeCell ref="A1284:B1284"/>
    <mergeCell ref="C1284:I1284"/>
    <mergeCell ref="A1285:B1285"/>
    <mergeCell ref="C1285:I1285"/>
    <mergeCell ref="A1286:I1286"/>
    <mergeCell ref="A1288:B1288"/>
    <mergeCell ref="C1288:I1288"/>
    <mergeCell ref="A1289:B1289"/>
    <mergeCell ref="C1289:I1289"/>
    <mergeCell ref="A1290:B1290"/>
    <mergeCell ref="C1290:I1290"/>
    <mergeCell ref="A1291:B1291"/>
    <mergeCell ref="C1291:I1291"/>
    <mergeCell ref="A1292:I1292"/>
    <mergeCell ref="A1294:B1294"/>
    <mergeCell ref="C1294:I1294"/>
    <mergeCell ref="A1295:B1295"/>
    <mergeCell ref="C1295:I1295"/>
    <mergeCell ref="A1296:B1296"/>
    <mergeCell ref="C1296:I1296"/>
    <mergeCell ref="A1297:B1297"/>
    <mergeCell ref="C1297:I1297"/>
    <mergeCell ref="A1298:I1298"/>
    <mergeCell ref="A1300:B1300"/>
    <mergeCell ref="C1300:I1300"/>
    <mergeCell ref="A1301:B1301"/>
    <mergeCell ref="C1301:I1301"/>
    <mergeCell ref="A1302:B1302"/>
    <mergeCell ref="C1302:I1302"/>
    <mergeCell ref="A1303:B1303"/>
    <mergeCell ref="C1303:I1303"/>
    <mergeCell ref="A1304:I1304"/>
    <mergeCell ref="A1306:B1306"/>
    <mergeCell ref="C1306:I1306"/>
    <mergeCell ref="A1307:B1307"/>
    <mergeCell ref="C1307:I1307"/>
    <mergeCell ref="A1308:B1308"/>
    <mergeCell ref="C1308:I1308"/>
    <mergeCell ref="A1309:B1309"/>
    <mergeCell ref="C1309:I1309"/>
    <mergeCell ref="A1310:I1310"/>
    <mergeCell ref="A1312:B1312"/>
    <mergeCell ref="C1312:I1312"/>
    <mergeCell ref="A1313:B1313"/>
    <mergeCell ref="C1313:I1313"/>
    <mergeCell ref="A1314:B1314"/>
    <mergeCell ref="C1314:I1314"/>
    <mergeCell ref="A1315:B1315"/>
    <mergeCell ref="C1315:I1315"/>
    <mergeCell ref="A1316:I1316"/>
    <mergeCell ref="A1318:B1318"/>
    <mergeCell ref="C1318:I1318"/>
    <mergeCell ref="A1319:B1319"/>
    <mergeCell ref="C1319:I1319"/>
    <mergeCell ref="A1320:B1320"/>
    <mergeCell ref="C1320:I1320"/>
    <mergeCell ref="A1321:B1321"/>
    <mergeCell ref="C1321:I1321"/>
    <mergeCell ref="A1322:I1322"/>
    <mergeCell ref="A1324:B1324"/>
    <mergeCell ref="C1324:I1324"/>
    <mergeCell ref="A1325:B1325"/>
    <mergeCell ref="C1325:I1325"/>
    <mergeCell ref="A1326:B1326"/>
    <mergeCell ref="C1326:I1326"/>
    <mergeCell ref="A1327:B1327"/>
    <mergeCell ref="C1327:I1327"/>
    <mergeCell ref="A1328:I1328"/>
    <mergeCell ref="A1330:B1330"/>
    <mergeCell ref="C1330:I1330"/>
    <mergeCell ref="A1331:B1331"/>
    <mergeCell ref="C1331:I1331"/>
    <mergeCell ref="A1332:B1332"/>
    <mergeCell ref="C1332:I1332"/>
    <mergeCell ref="A1333:B1333"/>
    <mergeCell ref="C1333:I1333"/>
    <mergeCell ref="A1334:I1334"/>
    <mergeCell ref="A1336:B1336"/>
    <mergeCell ref="C1336:I1336"/>
    <mergeCell ref="A1337:B1337"/>
    <mergeCell ref="C1337:I1337"/>
    <mergeCell ref="A1338:B1338"/>
    <mergeCell ref="C1338:I1338"/>
    <mergeCell ref="A1339:B1339"/>
    <mergeCell ref="C1339:I1339"/>
    <mergeCell ref="A1340:I1340"/>
    <mergeCell ref="A1342:B1342"/>
    <mergeCell ref="C1342:I1342"/>
    <mergeCell ref="A1343:B1343"/>
    <mergeCell ref="C1343:I1343"/>
    <mergeCell ref="A1344:B1344"/>
    <mergeCell ref="C1344:I1344"/>
    <mergeCell ref="A1345:B1345"/>
    <mergeCell ref="C1345:I1345"/>
    <mergeCell ref="A1346:I1346"/>
    <mergeCell ref="A1348:B1348"/>
    <mergeCell ref="C1348:I1348"/>
    <mergeCell ref="A1349:B1349"/>
    <mergeCell ref="C1349:I1349"/>
    <mergeCell ref="A1350:B1350"/>
    <mergeCell ref="C1350:I1350"/>
    <mergeCell ref="A1351:B1351"/>
    <mergeCell ref="C1351:I1351"/>
    <mergeCell ref="A1352:I1352"/>
    <mergeCell ref="A1354:B1354"/>
    <mergeCell ref="C1354:I1354"/>
    <mergeCell ref="A1355:B1355"/>
    <mergeCell ref="C1355:I1355"/>
    <mergeCell ref="A1356:B1356"/>
    <mergeCell ref="C1356:I1356"/>
    <mergeCell ref="A1357:B1357"/>
    <mergeCell ref="C1357:I1357"/>
    <mergeCell ref="A1358:I1358"/>
    <mergeCell ref="A1360:B1360"/>
    <mergeCell ref="C1360:I1360"/>
    <mergeCell ref="A1361:B1361"/>
    <mergeCell ref="C1361:I1361"/>
    <mergeCell ref="A1362:B1362"/>
    <mergeCell ref="C1362:I1362"/>
    <mergeCell ref="A1363:B1363"/>
    <mergeCell ref="C1363:I1363"/>
    <mergeCell ref="A1364:I1364"/>
    <mergeCell ref="A1366:B1366"/>
    <mergeCell ref="C1366:I1366"/>
    <mergeCell ref="A1367:B1367"/>
    <mergeCell ref="C1367:I1367"/>
    <mergeCell ref="A1368:B1368"/>
    <mergeCell ref="C1368:I1368"/>
    <mergeCell ref="A1369:B1369"/>
    <mergeCell ref="C1369:I1369"/>
    <mergeCell ref="A1370:I1370"/>
    <mergeCell ref="A1372:B1372"/>
    <mergeCell ref="C1372:I1372"/>
    <mergeCell ref="A1373:B1373"/>
    <mergeCell ref="C1373:I1373"/>
    <mergeCell ref="A1374:B1374"/>
    <mergeCell ref="C1374:I1374"/>
    <mergeCell ref="A1375:B1375"/>
    <mergeCell ref="C1375:I1375"/>
    <mergeCell ref="A1376:I1376"/>
    <mergeCell ref="A1378:B1378"/>
    <mergeCell ref="C1378:I1378"/>
    <mergeCell ref="A1379:B1379"/>
    <mergeCell ref="C1379:I1379"/>
    <mergeCell ref="A1380:B1380"/>
    <mergeCell ref="C1380:I1380"/>
    <mergeCell ref="A1381:B1381"/>
    <mergeCell ref="C1381:I1381"/>
    <mergeCell ref="A1382:I1382"/>
    <mergeCell ref="A1384:B1384"/>
    <mergeCell ref="C1384:I1384"/>
    <mergeCell ref="A1385:B1385"/>
    <mergeCell ref="C1385:I1385"/>
    <mergeCell ref="A1386:B1386"/>
    <mergeCell ref="C1386:I1386"/>
    <mergeCell ref="A1387:B1387"/>
    <mergeCell ref="C1387:I1387"/>
    <mergeCell ref="A1388:I1388"/>
    <mergeCell ref="A1390:B1390"/>
    <mergeCell ref="C1390:I1390"/>
    <mergeCell ref="A1391:B1391"/>
    <mergeCell ref="C1391:I1391"/>
    <mergeCell ref="A1392:B1392"/>
    <mergeCell ref="C1392:I1392"/>
    <mergeCell ref="A1393:B1393"/>
    <mergeCell ref="C1393:I1393"/>
    <mergeCell ref="A1394:I1394"/>
    <mergeCell ref="A1396:B1396"/>
    <mergeCell ref="C1396:I1396"/>
    <mergeCell ref="A1409:B1409"/>
    <mergeCell ref="C1409:I1409"/>
    <mergeCell ref="A1410:B1410"/>
    <mergeCell ref="C1410:I1410"/>
    <mergeCell ref="A1411:B1411"/>
    <mergeCell ref="C1411:I1411"/>
    <mergeCell ref="A1412:I1412"/>
    <mergeCell ref="A1397:B1397"/>
    <mergeCell ref="C1397:I1397"/>
    <mergeCell ref="A1398:B1398"/>
    <mergeCell ref="C1398:I1398"/>
    <mergeCell ref="A1399:B1399"/>
    <mergeCell ref="C1399:I1399"/>
    <mergeCell ref="A1400:I1400"/>
    <mergeCell ref="A1402:B1402"/>
    <mergeCell ref="C1402:I1402"/>
    <mergeCell ref="A1403:B1403"/>
    <mergeCell ref="C1403:I1403"/>
    <mergeCell ref="A1404:B1404"/>
    <mergeCell ref="C1404:I1404"/>
    <mergeCell ref="A1405:B1405"/>
    <mergeCell ref="C1405:I1405"/>
    <mergeCell ref="A1406:I1406"/>
    <mergeCell ref="A1408:B1408"/>
    <mergeCell ref="C1408:I1408"/>
  </mergeCells>
  <phoneticPr fontId="21" type="noConversion"/>
  <conditionalFormatting sqref="L2 L15 L21 L33 L39 L45 L51 L57 L67 L73 L79 L85 L91 L97 L104 L110 L116 L128 L134 L140 L146 L153 L159 L165 L172 L179 L185 L191 L197 L203 L209 L215 L221 L227 L233 L239 L245 L251 L257 L263 L269 L275 L283 L290 L296 L351 L357 L363 L378 L396 L407 L414 L427 L445 L457 L523 L529 L535 L547 L553 L565 L571 L581 L598 L604 L610 L616 L622 L628 L634 L640 L646 L652 L670 L676 L682 L688 L694 L700 L706 L718 L724 L730 L736 L742 L748 L754 L760 L766 L772 L778 L784 L790 L796 L802 L808 L814 L820 L826 L832 L838 L844 L851 L857 L863 L869 L875 L881 L887 L893 L899 L905 L917 L953 L984 L990 L996 L1009 L1015 L1051 L1063 L1069 L1075">
    <cfRule type="cellIs" dxfId="187" priority="741" operator="greaterThan">
      <formula>$I2</formula>
    </cfRule>
    <cfRule type="cellIs" dxfId="186" priority="742" operator="lessThan">
      <formula>$I2</formula>
    </cfRule>
  </conditionalFormatting>
  <conditionalFormatting sqref="L9">
    <cfRule type="cellIs" dxfId="185" priority="105" operator="greaterThan">
      <formula>$I9</formula>
    </cfRule>
    <cfRule type="cellIs" dxfId="184" priority="106" operator="lessThan">
      <formula>$I9</formula>
    </cfRule>
  </conditionalFormatting>
  <conditionalFormatting sqref="L27">
    <cfRule type="cellIs" dxfId="183" priority="117" operator="greaterThan">
      <formula>$I27</formula>
    </cfRule>
    <cfRule type="cellIs" dxfId="182" priority="118" operator="lessThan">
      <formula>$I27</formula>
    </cfRule>
  </conditionalFormatting>
  <conditionalFormatting sqref="L122">
    <cfRule type="cellIs" dxfId="181" priority="107" operator="greaterThan">
      <formula>$I122</formula>
    </cfRule>
    <cfRule type="cellIs" dxfId="180" priority="108" operator="lessThan">
      <formula>$I122</formula>
    </cfRule>
  </conditionalFormatting>
  <conditionalFormatting sqref="L303">
    <cfRule type="cellIs" dxfId="179" priority="115" operator="greaterThan">
      <formula>$I303</formula>
    </cfRule>
    <cfRule type="cellIs" dxfId="178" priority="116" operator="lessThan">
      <formula>$I303</formula>
    </cfRule>
  </conditionalFormatting>
  <conditionalFormatting sqref="L309">
    <cfRule type="cellIs" dxfId="177" priority="113" operator="greaterThan">
      <formula>$I309</formula>
    </cfRule>
    <cfRule type="cellIs" dxfId="176" priority="114" operator="lessThan">
      <formula>$I309</formula>
    </cfRule>
  </conditionalFormatting>
  <conditionalFormatting sqref="L315">
    <cfRule type="cellIs" dxfId="175" priority="109" operator="greaterThan">
      <formula>$I315</formula>
    </cfRule>
    <cfRule type="cellIs" dxfId="174" priority="110" operator="lessThan">
      <formula>$I315</formula>
    </cfRule>
  </conditionalFormatting>
  <conditionalFormatting sqref="L321">
    <cfRule type="cellIs" dxfId="173" priority="103" operator="greaterThan">
      <formula>$I321</formula>
    </cfRule>
    <cfRule type="cellIs" dxfId="172" priority="104" operator="lessThan">
      <formula>$I321</formula>
    </cfRule>
  </conditionalFormatting>
  <conditionalFormatting sqref="L327">
    <cfRule type="cellIs" dxfId="171" priority="101" operator="greaterThan">
      <formula>$I327</formula>
    </cfRule>
    <cfRule type="cellIs" dxfId="170" priority="102" operator="lessThan">
      <formula>$I327</formula>
    </cfRule>
  </conditionalFormatting>
  <conditionalFormatting sqref="L333">
    <cfRule type="cellIs" dxfId="169" priority="99" operator="greaterThan">
      <formula>$I333</formula>
    </cfRule>
    <cfRule type="cellIs" dxfId="168" priority="100" operator="lessThan">
      <formula>$I333</formula>
    </cfRule>
  </conditionalFormatting>
  <conditionalFormatting sqref="L339">
    <cfRule type="cellIs" dxfId="167" priority="97" operator="greaterThan">
      <formula>$I339</formula>
    </cfRule>
    <cfRule type="cellIs" dxfId="166" priority="98" operator="lessThan">
      <formula>$I339</formula>
    </cfRule>
  </conditionalFormatting>
  <conditionalFormatting sqref="L345">
    <cfRule type="cellIs" dxfId="165" priority="95" operator="greaterThan">
      <formula>$I345</formula>
    </cfRule>
    <cfRule type="cellIs" dxfId="164" priority="96" operator="lessThan">
      <formula>$I345</formula>
    </cfRule>
  </conditionalFormatting>
  <conditionalFormatting sqref="L384">
    <cfRule type="cellIs" dxfId="163" priority="179" operator="greaterThan">
      <formula>$I384</formula>
    </cfRule>
    <cfRule type="cellIs" dxfId="162" priority="180" operator="lessThan">
      <formula>$I384</formula>
    </cfRule>
  </conditionalFormatting>
  <conditionalFormatting sqref="L390">
    <cfRule type="cellIs" dxfId="161" priority="181" operator="greaterThan">
      <formula>$I390</formula>
    </cfRule>
    <cfRule type="cellIs" dxfId="160" priority="182" operator="lessThan">
      <formula>$I390</formula>
    </cfRule>
  </conditionalFormatting>
  <conditionalFormatting sqref="L421 L433 L451 L463 L592">
    <cfRule type="cellIs" dxfId="159" priority="1015" operator="greaterThan">
      <formula>$I421</formula>
    </cfRule>
    <cfRule type="cellIs" dxfId="158" priority="1016" operator="lessThan">
      <formula>$I421</formula>
    </cfRule>
  </conditionalFormatting>
  <conditionalFormatting sqref="L439">
    <cfRule type="cellIs" dxfId="157" priority="177" operator="greaterThan">
      <formula>$I439</formula>
    </cfRule>
    <cfRule type="cellIs" dxfId="156" priority="178" operator="lessThan">
      <formula>$I439</formula>
    </cfRule>
  </conditionalFormatting>
  <conditionalFormatting sqref="L469">
    <cfRule type="cellIs" dxfId="155" priority="161" operator="greaterThan">
      <formula>$I469</formula>
    </cfRule>
    <cfRule type="cellIs" dxfId="154" priority="162" operator="lessThan">
      <formula>$I469</formula>
    </cfRule>
  </conditionalFormatting>
  <conditionalFormatting sqref="L475">
    <cfRule type="cellIs" dxfId="153" priority="159" operator="greaterThan">
      <formula>$I475</formula>
    </cfRule>
    <cfRule type="cellIs" dxfId="152" priority="160" operator="lessThan">
      <formula>$I475</formula>
    </cfRule>
  </conditionalFormatting>
  <conditionalFormatting sqref="L481">
    <cfRule type="cellIs" dxfId="151" priority="157" operator="greaterThan">
      <formula>$I481</formula>
    </cfRule>
    <cfRule type="cellIs" dxfId="150" priority="158" operator="lessThan">
      <formula>$I481</formula>
    </cfRule>
  </conditionalFormatting>
  <conditionalFormatting sqref="L488">
    <cfRule type="cellIs" dxfId="149" priority="153" operator="greaterThan">
      <formula>$I488</formula>
    </cfRule>
    <cfRule type="cellIs" dxfId="148" priority="154" operator="lessThan">
      <formula>$I488</formula>
    </cfRule>
  </conditionalFormatting>
  <conditionalFormatting sqref="L496">
    <cfRule type="cellIs" dxfId="147" priority="151" operator="greaterThan">
      <formula>$I496</formula>
    </cfRule>
    <cfRule type="cellIs" dxfId="146" priority="152" operator="lessThan">
      <formula>$I496</formula>
    </cfRule>
  </conditionalFormatting>
  <conditionalFormatting sqref="L502">
    <cfRule type="cellIs" dxfId="145" priority="149" operator="greaterThan">
      <formula>$I502</formula>
    </cfRule>
    <cfRule type="cellIs" dxfId="144" priority="150" operator="lessThan">
      <formula>$I502</formula>
    </cfRule>
  </conditionalFormatting>
  <conditionalFormatting sqref="L508">
    <cfRule type="cellIs" dxfId="143" priority="147" operator="greaterThan">
      <formula>$I508</formula>
    </cfRule>
    <cfRule type="cellIs" dxfId="142" priority="148" operator="lessThan">
      <formula>$I508</formula>
    </cfRule>
  </conditionalFormatting>
  <conditionalFormatting sqref="L516">
    <cfRule type="cellIs" dxfId="141" priority="145" operator="greaterThan">
      <formula>$I516</formula>
    </cfRule>
    <cfRule type="cellIs" dxfId="140" priority="146" operator="lessThan">
      <formula>$I516</formula>
    </cfRule>
  </conditionalFormatting>
  <conditionalFormatting sqref="L541">
    <cfRule type="cellIs" dxfId="139" priority="143" operator="greaterThan">
      <formula>$I541</formula>
    </cfRule>
    <cfRule type="cellIs" dxfId="138" priority="144" operator="lessThan">
      <formula>$I541</formula>
    </cfRule>
  </conditionalFormatting>
  <conditionalFormatting sqref="L559">
    <cfRule type="cellIs" dxfId="137" priority="125" operator="greaterThan">
      <formula>$I559</formula>
    </cfRule>
    <cfRule type="cellIs" dxfId="136" priority="126" operator="lessThan">
      <formula>$I559</formula>
    </cfRule>
  </conditionalFormatting>
  <conditionalFormatting sqref="L658">
    <cfRule type="cellIs" dxfId="135" priority="93" operator="greaterThan">
      <formula>$I658</formula>
    </cfRule>
    <cfRule type="cellIs" dxfId="134" priority="94" operator="lessThan">
      <formula>$I658</formula>
    </cfRule>
  </conditionalFormatting>
  <conditionalFormatting sqref="L664">
    <cfRule type="cellIs" dxfId="133" priority="203" operator="greaterThan">
      <formula>$I664</formula>
    </cfRule>
    <cfRule type="cellIs" dxfId="132" priority="204" operator="lessThan">
      <formula>$I664</formula>
    </cfRule>
  </conditionalFormatting>
  <conditionalFormatting sqref="L712">
    <cfRule type="cellIs" dxfId="131" priority="199" operator="greaterThan">
      <formula>$I712</formula>
    </cfRule>
    <cfRule type="cellIs" dxfId="130" priority="200" operator="lessThan">
      <formula>$I712</formula>
    </cfRule>
  </conditionalFormatting>
  <conditionalFormatting sqref="L911">
    <cfRule type="cellIs" dxfId="129" priority="195" operator="greaterThan">
      <formula>$I911</formula>
    </cfRule>
    <cfRule type="cellIs" dxfId="128" priority="196" operator="lessThan">
      <formula>$I911</formula>
    </cfRule>
  </conditionalFormatting>
  <conditionalFormatting sqref="L923">
    <cfRule type="cellIs" dxfId="127" priority="193" operator="greaterThan">
      <formula>$I923</formula>
    </cfRule>
    <cfRule type="cellIs" dxfId="126" priority="194" operator="lessThan">
      <formula>$I923</formula>
    </cfRule>
  </conditionalFormatting>
  <conditionalFormatting sqref="L929">
    <cfRule type="cellIs" dxfId="125" priority="191" operator="greaterThan">
      <formula>$I929</formula>
    </cfRule>
    <cfRule type="cellIs" dxfId="124" priority="192" operator="lessThan">
      <formula>$I929</formula>
    </cfRule>
  </conditionalFormatting>
  <conditionalFormatting sqref="L935">
    <cfRule type="cellIs" dxfId="123" priority="187" operator="greaterThan">
      <formula>$I935</formula>
    </cfRule>
    <cfRule type="cellIs" dxfId="122" priority="188" operator="lessThan">
      <formula>$I935</formula>
    </cfRule>
  </conditionalFormatting>
  <conditionalFormatting sqref="L941">
    <cfRule type="cellIs" dxfId="121" priority="185" operator="greaterThan">
      <formula>$I941</formula>
    </cfRule>
    <cfRule type="cellIs" dxfId="120" priority="186" operator="lessThan">
      <formula>$I941</formula>
    </cfRule>
  </conditionalFormatting>
  <conditionalFormatting sqref="L947">
    <cfRule type="cellIs" dxfId="119" priority="183" operator="greaterThan">
      <formula>$I947</formula>
    </cfRule>
    <cfRule type="cellIs" dxfId="118" priority="184" operator="lessThan">
      <formula>$I947</formula>
    </cfRule>
  </conditionalFormatting>
  <conditionalFormatting sqref="L960">
    <cfRule type="cellIs" dxfId="117" priority="237" operator="greaterThan">
      <formula>$I960</formula>
    </cfRule>
    <cfRule type="cellIs" dxfId="116" priority="238" operator="lessThan">
      <formula>$I960</formula>
    </cfRule>
  </conditionalFormatting>
  <conditionalFormatting sqref="L966">
    <cfRule type="cellIs" dxfId="115" priority="235" operator="greaterThan">
      <formula>$I966</formula>
    </cfRule>
    <cfRule type="cellIs" dxfId="114" priority="236" operator="lessThan">
      <formula>$I966</formula>
    </cfRule>
  </conditionalFormatting>
  <conditionalFormatting sqref="L972">
    <cfRule type="cellIs" dxfId="113" priority="233" operator="greaterThan">
      <formula>$I972</formula>
    </cfRule>
    <cfRule type="cellIs" dxfId="112" priority="234" operator="lessThan">
      <formula>$I972</formula>
    </cfRule>
  </conditionalFormatting>
  <conditionalFormatting sqref="L978">
    <cfRule type="cellIs" dxfId="111" priority="231" operator="greaterThan">
      <formula>$I978</formula>
    </cfRule>
    <cfRule type="cellIs" dxfId="110" priority="232" operator="lessThan">
      <formula>$I978</formula>
    </cfRule>
  </conditionalFormatting>
  <conditionalFormatting sqref="L1002">
    <cfRule type="cellIs" dxfId="109" priority="213" operator="greaterThan">
      <formula>$I1002</formula>
    </cfRule>
    <cfRule type="cellIs" dxfId="108" priority="214" operator="lessThan">
      <formula>$I1002</formula>
    </cfRule>
  </conditionalFormatting>
  <conditionalFormatting sqref="L1021">
    <cfRule type="cellIs" dxfId="107" priority="229" operator="greaterThan">
      <formula>$I1021</formula>
    </cfRule>
    <cfRule type="cellIs" dxfId="106" priority="230" operator="lessThan">
      <formula>$I1021</formula>
    </cfRule>
  </conditionalFormatting>
  <conditionalFormatting sqref="L1027">
    <cfRule type="cellIs" dxfId="105" priority="221" operator="greaterThan">
      <formula>$I1027</formula>
    </cfRule>
    <cfRule type="cellIs" dxfId="104" priority="222" operator="lessThan">
      <formula>$I1027</formula>
    </cfRule>
  </conditionalFormatting>
  <conditionalFormatting sqref="L1033">
    <cfRule type="cellIs" dxfId="103" priority="219" operator="greaterThan">
      <formula>$I1033</formula>
    </cfRule>
    <cfRule type="cellIs" dxfId="102" priority="220" operator="lessThan">
      <formula>$I1033</formula>
    </cfRule>
  </conditionalFormatting>
  <conditionalFormatting sqref="L1039">
    <cfRule type="cellIs" dxfId="101" priority="217" operator="greaterThan">
      <formula>$I1039</formula>
    </cfRule>
    <cfRule type="cellIs" dxfId="100" priority="218" operator="lessThan">
      <formula>$I1039</formula>
    </cfRule>
  </conditionalFormatting>
  <conditionalFormatting sqref="L1045">
    <cfRule type="cellIs" dxfId="99" priority="215" operator="greaterThan">
      <formula>$I1045</formula>
    </cfRule>
    <cfRule type="cellIs" dxfId="98" priority="216" operator="lessThan">
      <formula>$I1045</formula>
    </cfRule>
  </conditionalFormatting>
  <conditionalFormatting sqref="L1057">
    <cfRule type="cellIs" dxfId="97" priority="205" operator="greaterThan">
      <formula>$I1057</formula>
    </cfRule>
    <cfRule type="cellIs" dxfId="96" priority="206" operator="lessThan">
      <formula>$I1057</formula>
    </cfRule>
  </conditionalFormatting>
  <conditionalFormatting sqref="L1081">
    <cfRule type="cellIs" dxfId="95" priority="211" operator="greaterThan">
      <formula>$I1081</formula>
    </cfRule>
    <cfRule type="cellIs" dxfId="94" priority="212" operator="lessThan">
      <formula>$I1081</formula>
    </cfRule>
  </conditionalFormatting>
  <conditionalFormatting sqref="L1105">
    <cfRule type="cellIs" dxfId="93" priority="209" operator="greaterThan">
      <formula>$I1105</formula>
    </cfRule>
    <cfRule type="cellIs" dxfId="92" priority="210" operator="lessThan">
      <formula>$I1105</formula>
    </cfRule>
  </conditionalFormatting>
  <conditionalFormatting sqref="L1129">
    <cfRule type="cellIs" dxfId="91" priority="91" operator="greaterThan">
      <formula>$I1129</formula>
    </cfRule>
    <cfRule type="cellIs" dxfId="90" priority="92" operator="lessThan">
      <formula>$I1129</formula>
    </cfRule>
  </conditionalFormatting>
  <conditionalFormatting sqref="L1135">
    <cfRule type="cellIs" dxfId="89" priority="89" operator="greaterThan">
      <formula>$I1135</formula>
    </cfRule>
    <cfRule type="cellIs" dxfId="88" priority="90" operator="lessThan">
      <formula>$I1135</formula>
    </cfRule>
  </conditionalFormatting>
  <conditionalFormatting sqref="L1141">
    <cfRule type="cellIs" dxfId="87" priority="87" operator="greaterThan">
      <formula>$I1141</formula>
    </cfRule>
    <cfRule type="cellIs" dxfId="86" priority="88" operator="lessThan">
      <formula>$I1141</formula>
    </cfRule>
  </conditionalFormatting>
  <conditionalFormatting sqref="L1147">
    <cfRule type="cellIs" dxfId="85" priority="85" operator="greaterThan">
      <formula>$I1147</formula>
    </cfRule>
    <cfRule type="cellIs" dxfId="84" priority="86" operator="lessThan">
      <formula>$I1147</formula>
    </cfRule>
  </conditionalFormatting>
  <conditionalFormatting sqref="L1153">
    <cfRule type="cellIs" dxfId="83" priority="83" operator="greaterThan">
      <formula>$I1153</formula>
    </cfRule>
    <cfRule type="cellIs" dxfId="82" priority="84" operator="lessThan">
      <formula>$I1153</formula>
    </cfRule>
  </conditionalFormatting>
  <conditionalFormatting sqref="L1159">
    <cfRule type="cellIs" dxfId="81" priority="81" operator="greaterThan">
      <formula>$I1159</formula>
    </cfRule>
    <cfRule type="cellIs" dxfId="80" priority="82" operator="lessThan">
      <formula>$I1159</formula>
    </cfRule>
  </conditionalFormatting>
  <conditionalFormatting sqref="L1165">
    <cfRule type="cellIs" dxfId="79" priority="79" operator="greaterThan">
      <formula>$I1165</formula>
    </cfRule>
    <cfRule type="cellIs" dxfId="78" priority="80" operator="lessThan">
      <formula>$I1165</formula>
    </cfRule>
  </conditionalFormatting>
  <conditionalFormatting sqref="L1171">
    <cfRule type="cellIs" dxfId="77" priority="77" operator="greaterThan">
      <formula>$I1171</formula>
    </cfRule>
    <cfRule type="cellIs" dxfId="76" priority="78" operator="lessThan">
      <formula>$I1171</formula>
    </cfRule>
  </conditionalFormatting>
  <conditionalFormatting sqref="L1177">
    <cfRule type="cellIs" dxfId="75" priority="75" operator="greaterThan">
      <formula>$I1177</formula>
    </cfRule>
    <cfRule type="cellIs" dxfId="74" priority="76" operator="lessThan">
      <formula>$I1177</formula>
    </cfRule>
  </conditionalFormatting>
  <conditionalFormatting sqref="L1184">
    <cfRule type="cellIs" dxfId="73" priority="73" operator="greaterThan">
      <formula>$I1184</formula>
    </cfRule>
    <cfRule type="cellIs" dxfId="72" priority="74" operator="lessThan">
      <formula>$I1184</formula>
    </cfRule>
  </conditionalFormatting>
  <conditionalFormatting sqref="L1190">
    <cfRule type="cellIs" dxfId="71" priority="71" operator="greaterThan">
      <formula>$I1190</formula>
    </cfRule>
    <cfRule type="cellIs" dxfId="70" priority="72" operator="lessThan">
      <formula>$I1190</formula>
    </cfRule>
  </conditionalFormatting>
  <conditionalFormatting sqref="L1196">
    <cfRule type="cellIs" dxfId="69" priority="69" operator="greaterThan">
      <formula>$I1196</formula>
    </cfRule>
    <cfRule type="cellIs" dxfId="68" priority="70" operator="lessThan">
      <formula>$I1196</formula>
    </cfRule>
  </conditionalFormatting>
  <conditionalFormatting sqref="L1209">
    <cfRule type="cellIs" dxfId="67" priority="67" operator="greaterThan">
      <formula>$I1209</formula>
    </cfRule>
    <cfRule type="cellIs" dxfId="66" priority="68" operator="lessThan">
      <formula>$I1209</formula>
    </cfRule>
  </conditionalFormatting>
  <conditionalFormatting sqref="L1215">
    <cfRule type="cellIs" dxfId="65" priority="65" operator="greaterThan">
      <formula>$I1215</formula>
    </cfRule>
    <cfRule type="cellIs" dxfId="64" priority="66" operator="lessThan">
      <formula>$I1215</formula>
    </cfRule>
  </conditionalFormatting>
  <conditionalFormatting sqref="L1221">
    <cfRule type="cellIs" dxfId="63" priority="63" operator="greaterThan">
      <formula>$I1221</formula>
    </cfRule>
    <cfRule type="cellIs" dxfId="62" priority="64" operator="lessThan">
      <formula>$I1221</formula>
    </cfRule>
  </conditionalFormatting>
  <conditionalFormatting sqref="L1227">
    <cfRule type="cellIs" dxfId="61" priority="61" operator="greaterThan">
      <formula>$I1227</formula>
    </cfRule>
    <cfRule type="cellIs" dxfId="60" priority="62" operator="lessThan">
      <formula>$I1227</formula>
    </cfRule>
  </conditionalFormatting>
  <conditionalFormatting sqref="L1233">
    <cfRule type="cellIs" dxfId="59" priority="59" operator="greaterThan">
      <formula>$I1233</formula>
    </cfRule>
    <cfRule type="cellIs" dxfId="58" priority="60" operator="lessThan">
      <formula>$I1233</formula>
    </cfRule>
  </conditionalFormatting>
  <conditionalFormatting sqref="L1239">
    <cfRule type="cellIs" dxfId="57" priority="57" operator="greaterThan">
      <formula>$I1239</formula>
    </cfRule>
    <cfRule type="cellIs" dxfId="56" priority="58" operator="lessThan">
      <formula>$I1239</formula>
    </cfRule>
  </conditionalFormatting>
  <conditionalFormatting sqref="L1245">
    <cfRule type="cellIs" dxfId="55" priority="55" operator="greaterThan">
      <formula>$I1245</formula>
    </cfRule>
    <cfRule type="cellIs" dxfId="54" priority="56" operator="lessThan">
      <formula>$I1245</formula>
    </cfRule>
  </conditionalFormatting>
  <conditionalFormatting sqref="L1251">
    <cfRule type="cellIs" dxfId="53" priority="53" operator="greaterThan">
      <formula>$I1251</formula>
    </cfRule>
    <cfRule type="cellIs" dxfId="52" priority="54" operator="lessThan">
      <formula>$I1251</formula>
    </cfRule>
  </conditionalFormatting>
  <conditionalFormatting sqref="L1257">
    <cfRule type="cellIs" dxfId="51" priority="51" operator="greaterThan">
      <formula>$I1257</formula>
    </cfRule>
    <cfRule type="cellIs" dxfId="50" priority="52" operator="lessThan">
      <formula>$I1257</formula>
    </cfRule>
  </conditionalFormatting>
  <conditionalFormatting sqref="L1263">
    <cfRule type="cellIs" dxfId="49" priority="49" operator="greaterThan">
      <formula>$I1263</formula>
    </cfRule>
    <cfRule type="cellIs" dxfId="48" priority="50" operator="lessThan">
      <formula>$I1263</formula>
    </cfRule>
  </conditionalFormatting>
  <conditionalFormatting sqref="L1269">
    <cfRule type="cellIs" dxfId="47" priority="47" operator="greaterThan">
      <formula>$I1269</formula>
    </cfRule>
    <cfRule type="cellIs" dxfId="46" priority="48" operator="lessThan">
      <formula>$I1269</formula>
    </cfRule>
  </conditionalFormatting>
  <conditionalFormatting sqref="L1275">
    <cfRule type="cellIs" dxfId="45" priority="45" operator="greaterThan">
      <formula>$I1275</formula>
    </cfRule>
    <cfRule type="cellIs" dxfId="44" priority="46" operator="lessThan">
      <formula>$I1275</formula>
    </cfRule>
  </conditionalFormatting>
  <conditionalFormatting sqref="L1281">
    <cfRule type="cellIs" dxfId="43" priority="43" operator="greaterThan">
      <formula>$I1281</formula>
    </cfRule>
    <cfRule type="cellIs" dxfId="42" priority="44" operator="lessThan">
      <formula>$I1281</formula>
    </cfRule>
  </conditionalFormatting>
  <conditionalFormatting sqref="L1287">
    <cfRule type="cellIs" dxfId="41" priority="41" operator="greaterThan">
      <formula>$I1287</formula>
    </cfRule>
    <cfRule type="cellIs" dxfId="40" priority="42" operator="lessThan">
      <formula>$I1287</formula>
    </cfRule>
  </conditionalFormatting>
  <conditionalFormatting sqref="L1293">
    <cfRule type="cellIs" dxfId="39" priority="39" operator="greaterThan">
      <formula>$I1293</formula>
    </cfRule>
    <cfRule type="cellIs" dxfId="38" priority="40" operator="lessThan">
      <formula>$I1293</formula>
    </cfRule>
  </conditionalFormatting>
  <conditionalFormatting sqref="L1299">
    <cfRule type="cellIs" dxfId="37" priority="37" operator="greaterThan">
      <formula>$I1299</formula>
    </cfRule>
    <cfRule type="cellIs" dxfId="36" priority="38" operator="lessThan">
      <formula>$I1299</formula>
    </cfRule>
  </conditionalFormatting>
  <conditionalFormatting sqref="L1305">
    <cfRule type="cellIs" dxfId="35" priority="35" operator="greaterThan">
      <formula>$I1305</formula>
    </cfRule>
    <cfRule type="cellIs" dxfId="34" priority="36" operator="lessThan">
      <formula>$I1305</formula>
    </cfRule>
  </conditionalFormatting>
  <conditionalFormatting sqref="L1311">
    <cfRule type="cellIs" dxfId="33" priority="33" operator="greaterThan">
      <formula>$I1311</formula>
    </cfRule>
    <cfRule type="cellIs" dxfId="32" priority="34" operator="lessThan">
      <formula>$I1311</formula>
    </cfRule>
  </conditionalFormatting>
  <conditionalFormatting sqref="L1317">
    <cfRule type="cellIs" dxfId="31" priority="31" operator="greaterThan">
      <formula>$I1317</formula>
    </cfRule>
    <cfRule type="cellIs" dxfId="30" priority="32" operator="lessThan">
      <formula>$I1317</formula>
    </cfRule>
  </conditionalFormatting>
  <conditionalFormatting sqref="L1323">
    <cfRule type="cellIs" dxfId="29" priority="29" operator="greaterThan">
      <formula>$I1323</formula>
    </cfRule>
    <cfRule type="cellIs" dxfId="28" priority="30" operator="lessThan">
      <formula>$I1323</formula>
    </cfRule>
  </conditionalFormatting>
  <conditionalFormatting sqref="L1329">
    <cfRule type="cellIs" dxfId="27" priority="27" operator="greaterThan">
      <formula>$I1329</formula>
    </cfRule>
    <cfRule type="cellIs" dxfId="26" priority="28" operator="lessThan">
      <formula>$I1329</formula>
    </cfRule>
  </conditionalFormatting>
  <conditionalFormatting sqref="L1335">
    <cfRule type="cellIs" dxfId="25" priority="25" operator="greaterThan">
      <formula>$I1335</formula>
    </cfRule>
    <cfRule type="cellIs" dxfId="24" priority="26" operator="lessThan">
      <formula>$I1335</formula>
    </cfRule>
  </conditionalFormatting>
  <conditionalFormatting sqref="L1341">
    <cfRule type="cellIs" dxfId="23" priority="23" operator="greaterThan">
      <formula>$I1341</formula>
    </cfRule>
    <cfRule type="cellIs" dxfId="22" priority="24" operator="lessThan">
      <formula>$I1341</formula>
    </cfRule>
  </conditionalFormatting>
  <conditionalFormatting sqref="L1347">
    <cfRule type="cellIs" dxfId="21" priority="21" operator="greaterThan">
      <formula>$I1347</formula>
    </cfRule>
    <cfRule type="cellIs" dxfId="20" priority="22" operator="lessThan">
      <formula>$I1347</formula>
    </cfRule>
  </conditionalFormatting>
  <conditionalFormatting sqref="L1353">
    <cfRule type="cellIs" dxfId="19" priority="19" operator="greaterThan">
      <formula>$I1353</formula>
    </cfRule>
    <cfRule type="cellIs" dxfId="18" priority="20" operator="lessThan">
      <formula>$I1353</formula>
    </cfRule>
  </conditionalFormatting>
  <conditionalFormatting sqref="L1359">
    <cfRule type="cellIs" dxfId="17" priority="17" operator="greaterThan">
      <formula>$I1359</formula>
    </cfRule>
    <cfRule type="cellIs" dxfId="16" priority="18" operator="lessThan">
      <formula>$I1359</formula>
    </cfRule>
  </conditionalFormatting>
  <conditionalFormatting sqref="L1365">
    <cfRule type="cellIs" dxfId="15" priority="15" operator="greaterThan">
      <formula>$I1365</formula>
    </cfRule>
    <cfRule type="cellIs" dxfId="14" priority="16" operator="lessThan">
      <formula>$I1365</formula>
    </cfRule>
  </conditionalFormatting>
  <conditionalFormatting sqref="L1371">
    <cfRule type="cellIs" dxfId="13" priority="13" operator="greaterThan">
      <formula>$I1371</formula>
    </cfRule>
    <cfRule type="cellIs" dxfId="12" priority="14" operator="lessThan">
      <formula>$I1371</formula>
    </cfRule>
  </conditionalFormatting>
  <conditionalFormatting sqref="L1377">
    <cfRule type="cellIs" dxfId="11" priority="11" operator="greaterThan">
      <formula>$I1377</formula>
    </cfRule>
    <cfRule type="cellIs" dxfId="10" priority="12" operator="lessThan">
      <formula>$I1377</formula>
    </cfRule>
  </conditionalFormatting>
  <conditionalFormatting sqref="L1383">
    <cfRule type="cellIs" dxfId="9" priority="9" operator="greaterThan">
      <formula>$I1383</formula>
    </cfRule>
    <cfRule type="cellIs" dxfId="8" priority="10" operator="lessThan">
      <formula>$I1383</formula>
    </cfRule>
  </conditionalFormatting>
  <conditionalFormatting sqref="L1389">
    <cfRule type="cellIs" dxfId="7" priority="7" operator="greaterThan">
      <formula>$I1389</formula>
    </cfRule>
    <cfRule type="cellIs" dxfId="6" priority="8" operator="lessThan">
      <formula>$I1389</formula>
    </cfRule>
  </conditionalFormatting>
  <conditionalFormatting sqref="L1395">
    <cfRule type="cellIs" dxfId="5" priority="5" operator="greaterThan">
      <formula>$I1395</formula>
    </cfRule>
    <cfRule type="cellIs" dxfId="4" priority="6" operator="lessThan">
      <formula>$I1395</formula>
    </cfRule>
  </conditionalFormatting>
  <conditionalFormatting sqref="L1401">
    <cfRule type="cellIs" dxfId="3" priority="3" operator="greaterThan">
      <formula>$I1401</formula>
    </cfRule>
    <cfRule type="cellIs" dxfId="2" priority="4" operator="lessThan">
      <formula>$I1401</formula>
    </cfRule>
  </conditionalFormatting>
  <conditionalFormatting sqref="L1407">
    <cfRule type="cellIs" dxfId="1" priority="1" operator="greaterThan">
      <formula>$I1407</formula>
    </cfRule>
    <cfRule type="cellIs" dxfId="0" priority="2" operator="lessThan">
      <formula>$I1407</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40891-D23C-4716-A5D2-36C5B3B78541}">
  <dimension ref="B5:D116"/>
  <sheetViews>
    <sheetView workbookViewId="0">
      <selection activeCell="D95" sqref="D95"/>
    </sheetView>
  </sheetViews>
  <sheetFormatPr baseColWidth="10" defaultRowHeight="12.75" x14ac:dyDescent="0.2"/>
  <cols>
    <col min="3" max="3" width="31" bestFit="1" customWidth="1"/>
  </cols>
  <sheetData>
    <row r="5" spans="2:4" x14ac:dyDescent="0.2">
      <c r="B5" s="65" t="s">
        <v>154</v>
      </c>
      <c r="C5" s="65"/>
      <c r="D5" s="65"/>
    </row>
    <row r="6" spans="2:4" x14ac:dyDescent="0.2">
      <c r="B6" s="15" t="s">
        <v>203</v>
      </c>
      <c r="C6" s="15" t="s">
        <v>3</v>
      </c>
      <c r="D6" s="15" t="s">
        <v>7</v>
      </c>
    </row>
    <row r="7" spans="2:4" x14ac:dyDescent="0.2">
      <c r="B7" s="16">
        <v>1</v>
      </c>
      <c r="C7" t="s">
        <v>204</v>
      </c>
      <c r="D7">
        <v>1</v>
      </c>
    </row>
    <row r="8" spans="2:4" x14ac:dyDescent="0.2">
      <c r="B8" s="16">
        <v>2</v>
      </c>
      <c r="C8" t="s">
        <v>205</v>
      </c>
      <c r="D8">
        <v>1</v>
      </c>
    </row>
    <row r="9" spans="2:4" x14ac:dyDescent="0.2">
      <c r="B9" s="16">
        <v>3</v>
      </c>
      <c r="C9" t="s">
        <v>94</v>
      </c>
    </row>
    <row r="10" spans="2:4" x14ac:dyDescent="0.2">
      <c r="B10" s="16"/>
      <c r="C10" t="s">
        <v>206</v>
      </c>
      <c r="D10">
        <v>1</v>
      </c>
    </row>
    <row r="11" spans="2:4" x14ac:dyDescent="0.2">
      <c r="B11" s="16"/>
      <c r="C11" t="s">
        <v>207</v>
      </c>
      <c r="D11">
        <v>3</v>
      </c>
    </row>
    <row r="12" spans="2:4" x14ac:dyDescent="0.2">
      <c r="B12" s="16">
        <v>4</v>
      </c>
      <c r="C12" t="s">
        <v>98</v>
      </c>
      <c r="D12">
        <v>3</v>
      </c>
    </row>
    <row r="13" spans="2:4" x14ac:dyDescent="0.2">
      <c r="B13" s="16">
        <v>5</v>
      </c>
      <c r="C13" t="s">
        <v>100</v>
      </c>
      <c r="D13">
        <v>1</v>
      </c>
    </row>
    <row r="14" spans="2:4" x14ac:dyDescent="0.2">
      <c r="B14" s="16">
        <v>6</v>
      </c>
      <c r="C14" t="s">
        <v>101</v>
      </c>
      <c r="D14">
        <v>43</v>
      </c>
    </row>
    <row r="15" spans="2:4" x14ac:dyDescent="0.2">
      <c r="B15" s="16">
        <v>7</v>
      </c>
      <c r="C15" t="s">
        <v>104</v>
      </c>
      <c r="D15">
        <v>3</v>
      </c>
    </row>
    <row r="16" spans="2:4" x14ac:dyDescent="0.2">
      <c r="B16" s="16">
        <v>8</v>
      </c>
      <c r="C16" t="s">
        <v>208</v>
      </c>
      <c r="D16">
        <v>1</v>
      </c>
    </row>
    <row r="17" spans="2:4" x14ac:dyDescent="0.2">
      <c r="B17" s="16">
        <v>9</v>
      </c>
      <c r="C17" t="s">
        <v>107</v>
      </c>
    </row>
    <row r="18" spans="2:4" x14ac:dyDescent="0.2">
      <c r="B18" s="16"/>
      <c r="C18" t="s">
        <v>209</v>
      </c>
      <c r="D18">
        <v>2</v>
      </c>
    </row>
    <row r="19" spans="2:4" x14ac:dyDescent="0.2">
      <c r="B19" s="16">
        <v>10</v>
      </c>
      <c r="C19" t="s">
        <v>210</v>
      </c>
      <c r="D19">
        <v>1</v>
      </c>
    </row>
    <row r="20" spans="2:4" x14ac:dyDescent="0.2">
      <c r="B20" s="16">
        <v>11</v>
      </c>
      <c r="C20" t="s">
        <v>211</v>
      </c>
    </row>
    <row r="21" spans="2:4" x14ac:dyDescent="0.2">
      <c r="B21" s="16"/>
      <c r="C21" t="s">
        <v>212</v>
      </c>
      <c r="D21">
        <v>11</v>
      </c>
    </row>
    <row r="22" spans="2:4" x14ac:dyDescent="0.2">
      <c r="B22" s="65" t="s">
        <v>213</v>
      </c>
      <c r="C22" s="65"/>
      <c r="D22" s="65"/>
    </row>
    <row r="23" spans="2:4" x14ac:dyDescent="0.2">
      <c r="B23" s="15" t="s">
        <v>203</v>
      </c>
      <c r="C23" s="15" t="s">
        <v>3</v>
      </c>
      <c r="D23" s="15" t="s">
        <v>7</v>
      </c>
    </row>
    <row r="24" spans="2:4" x14ac:dyDescent="0.2">
      <c r="B24" s="16">
        <v>1</v>
      </c>
      <c r="C24" s="17" t="s">
        <v>214</v>
      </c>
    </row>
    <row r="25" spans="2:4" x14ac:dyDescent="0.2">
      <c r="B25" s="16"/>
      <c r="C25" s="17" t="s">
        <v>215</v>
      </c>
    </row>
    <row r="26" spans="2:4" x14ac:dyDescent="0.2">
      <c r="B26" s="16"/>
      <c r="C26" s="17" t="s">
        <v>217</v>
      </c>
      <c r="D26">
        <v>36</v>
      </c>
    </row>
    <row r="27" spans="2:4" x14ac:dyDescent="0.2">
      <c r="B27" s="16"/>
      <c r="C27" s="17" t="s">
        <v>218</v>
      </c>
      <c r="D27">
        <v>33</v>
      </c>
    </row>
    <row r="28" spans="2:4" x14ac:dyDescent="0.2">
      <c r="B28" s="16"/>
      <c r="C28" s="17" t="s">
        <v>216</v>
      </c>
    </row>
    <row r="29" spans="2:4" x14ac:dyDescent="0.2">
      <c r="B29" s="16"/>
      <c r="C29" s="17" t="s">
        <v>219</v>
      </c>
      <c r="D29">
        <v>3</v>
      </c>
    </row>
    <row r="30" spans="2:4" x14ac:dyDescent="0.2">
      <c r="B30" s="16"/>
      <c r="C30" s="17" t="s">
        <v>218</v>
      </c>
      <c r="D30">
        <v>1</v>
      </c>
    </row>
    <row r="31" spans="2:4" x14ac:dyDescent="0.2">
      <c r="B31" s="16"/>
      <c r="C31" s="17" t="s">
        <v>220</v>
      </c>
      <c r="D31">
        <v>1</v>
      </c>
    </row>
    <row r="32" spans="2:4" x14ac:dyDescent="0.2">
      <c r="B32" s="16">
        <v>2</v>
      </c>
      <c r="C32" s="17" t="s">
        <v>221</v>
      </c>
      <c r="D32">
        <v>2</v>
      </c>
    </row>
    <row r="33" spans="2:4" x14ac:dyDescent="0.2">
      <c r="B33" s="16">
        <v>3</v>
      </c>
      <c r="C33" s="17" t="s">
        <v>222</v>
      </c>
      <c r="D33">
        <v>3</v>
      </c>
    </row>
    <row r="34" spans="2:4" x14ac:dyDescent="0.2">
      <c r="B34" s="16">
        <v>4</v>
      </c>
      <c r="C34" s="17" t="s">
        <v>223</v>
      </c>
      <c r="D34">
        <v>1</v>
      </c>
    </row>
    <row r="35" spans="2:4" x14ac:dyDescent="0.2">
      <c r="B35" s="16">
        <v>5</v>
      </c>
      <c r="C35" s="17" t="s">
        <v>224</v>
      </c>
      <c r="D35">
        <v>1</v>
      </c>
    </row>
    <row r="36" spans="2:4" x14ac:dyDescent="0.2">
      <c r="B36" s="16">
        <v>6</v>
      </c>
      <c r="C36" s="17" t="s">
        <v>225</v>
      </c>
    </row>
    <row r="37" spans="2:4" x14ac:dyDescent="0.2">
      <c r="B37" s="16"/>
      <c r="C37" s="17" t="s">
        <v>215</v>
      </c>
      <c r="D37">
        <v>17</v>
      </c>
    </row>
    <row r="38" spans="2:4" x14ac:dyDescent="0.2">
      <c r="B38" s="16"/>
      <c r="C38" s="17" t="s">
        <v>232</v>
      </c>
      <c r="D38">
        <v>5</v>
      </c>
    </row>
    <row r="39" spans="2:4" x14ac:dyDescent="0.2">
      <c r="B39" s="16">
        <v>7</v>
      </c>
      <c r="C39" s="17" t="s">
        <v>226</v>
      </c>
      <c r="D39">
        <v>1</v>
      </c>
    </row>
    <row r="40" spans="2:4" x14ac:dyDescent="0.2">
      <c r="B40" s="16">
        <v>8</v>
      </c>
      <c r="C40" s="17" t="s">
        <v>227</v>
      </c>
      <c r="D40">
        <v>1</v>
      </c>
    </row>
    <row r="41" spans="2:4" x14ac:dyDescent="0.2">
      <c r="B41" s="16">
        <v>9</v>
      </c>
      <c r="C41" s="17" t="s">
        <v>228</v>
      </c>
      <c r="D41">
        <v>1</v>
      </c>
    </row>
    <row r="42" spans="2:4" x14ac:dyDescent="0.2">
      <c r="B42" s="16">
        <v>10</v>
      </c>
      <c r="C42" s="17" t="s">
        <v>229</v>
      </c>
      <c r="D42">
        <v>1</v>
      </c>
    </row>
    <row r="43" spans="2:4" x14ac:dyDescent="0.2">
      <c r="B43" s="16">
        <v>11</v>
      </c>
      <c r="C43" s="17" t="s">
        <v>230</v>
      </c>
      <c r="D43">
        <v>9</v>
      </c>
    </row>
    <row r="44" spans="2:4" x14ac:dyDescent="0.2">
      <c r="B44" s="16">
        <v>12</v>
      </c>
      <c r="C44" s="17" t="s">
        <v>231</v>
      </c>
      <c r="D44">
        <v>1</v>
      </c>
    </row>
    <row r="45" spans="2:4" x14ac:dyDescent="0.2">
      <c r="B45" s="65" t="s">
        <v>116</v>
      </c>
      <c r="C45" s="65"/>
      <c r="D45" s="65"/>
    </row>
    <row r="46" spans="2:4" x14ac:dyDescent="0.2">
      <c r="B46" s="15" t="s">
        <v>203</v>
      </c>
      <c r="C46" s="15" t="s">
        <v>3</v>
      </c>
      <c r="D46" s="15" t="s">
        <v>7</v>
      </c>
    </row>
    <row r="47" spans="2:4" x14ac:dyDescent="0.2">
      <c r="B47" s="16">
        <v>1</v>
      </c>
      <c r="C47" s="17" t="s">
        <v>239</v>
      </c>
    </row>
    <row r="48" spans="2:4" x14ac:dyDescent="0.2">
      <c r="B48" s="16"/>
      <c r="C48" s="17" t="s">
        <v>233</v>
      </c>
      <c r="D48">
        <v>3</v>
      </c>
    </row>
    <row r="49" spans="2:4" x14ac:dyDescent="0.2">
      <c r="B49" s="16"/>
      <c r="C49" s="17" t="s">
        <v>234</v>
      </c>
      <c r="D49">
        <v>4</v>
      </c>
    </row>
    <row r="50" spans="2:4" x14ac:dyDescent="0.2">
      <c r="B50" s="16"/>
      <c r="C50" s="17" t="s">
        <v>235</v>
      </c>
      <c r="D50">
        <v>3</v>
      </c>
    </row>
    <row r="51" spans="2:4" x14ac:dyDescent="0.2">
      <c r="B51" s="16">
        <v>2</v>
      </c>
      <c r="C51" s="17" t="s">
        <v>240</v>
      </c>
    </row>
    <row r="52" spans="2:4" x14ac:dyDescent="0.2">
      <c r="C52" s="17" t="s">
        <v>172</v>
      </c>
      <c r="D52">
        <v>2</v>
      </c>
    </row>
    <row r="53" spans="2:4" x14ac:dyDescent="0.2">
      <c r="B53" s="16"/>
      <c r="C53" s="17" t="s">
        <v>236</v>
      </c>
      <c r="D53">
        <v>4</v>
      </c>
    </row>
    <row r="54" spans="2:4" x14ac:dyDescent="0.2">
      <c r="B54" s="16"/>
      <c r="C54" s="17" t="s">
        <v>251</v>
      </c>
      <c r="D54">
        <v>1</v>
      </c>
    </row>
    <row r="55" spans="2:4" x14ac:dyDescent="0.2">
      <c r="B55" s="16">
        <v>3</v>
      </c>
      <c r="C55" s="17" t="s">
        <v>237</v>
      </c>
      <c r="D55">
        <v>3</v>
      </c>
    </row>
    <row r="56" spans="2:4" x14ac:dyDescent="0.2">
      <c r="B56" s="16">
        <v>4</v>
      </c>
      <c r="C56" s="17" t="s">
        <v>238</v>
      </c>
      <c r="D56">
        <v>1</v>
      </c>
    </row>
    <row r="57" spans="2:4" x14ac:dyDescent="0.2">
      <c r="B57" s="16">
        <v>5</v>
      </c>
      <c r="C57" s="17" t="s">
        <v>177</v>
      </c>
      <c r="D57">
        <v>1</v>
      </c>
    </row>
    <row r="58" spans="2:4" x14ac:dyDescent="0.2">
      <c r="B58" s="16">
        <v>6</v>
      </c>
      <c r="C58" s="17" t="s">
        <v>178</v>
      </c>
    </row>
    <row r="59" spans="2:4" x14ac:dyDescent="0.2">
      <c r="C59" s="17" t="s">
        <v>242</v>
      </c>
      <c r="D59">
        <v>8</v>
      </c>
    </row>
    <row r="60" spans="2:4" x14ac:dyDescent="0.2">
      <c r="C60" s="17" t="s">
        <v>241</v>
      </c>
      <c r="D60">
        <v>176</v>
      </c>
    </row>
    <row r="61" spans="2:4" x14ac:dyDescent="0.2">
      <c r="C61" s="17" t="s">
        <v>243</v>
      </c>
      <c r="D61">
        <v>0</v>
      </c>
    </row>
    <row r="62" spans="2:4" x14ac:dyDescent="0.2">
      <c r="C62" s="17" t="s">
        <v>244</v>
      </c>
      <c r="D62">
        <v>0</v>
      </c>
    </row>
    <row r="63" spans="2:4" x14ac:dyDescent="0.2">
      <c r="C63" s="17" t="s">
        <v>245</v>
      </c>
      <c r="D63">
        <v>12</v>
      </c>
    </row>
    <row r="64" spans="2:4" x14ac:dyDescent="0.2">
      <c r="C64" s="17" t="s">
        <v>247</v>
      </c>
      <c r="D64">
        <v>0</v>
      </c>
    </row>
    <row r="65" spans="2:4" x14ac:dyDescent="0.2">
      <c r="C65" s="17" t="s">
        <v>246</v>
      </c>
      <c r="D65">
        <v>18</v>
      </c>
    </row>
    <row r="66" spans="2:4" x14ac:dyDescent="0.2">
      <c r="C66" s="17" t="s">
        <v>248</v>
      </c>
      <c r="D66">
        <v>118</v>
      </c>
    </row>
    <row r="67" spans="2:4" x14ac:dyDescent="0.2">
      <c r="C67" s="17" t="s">
        <v>249</v>
      </c>
      <c r="D67">
        <v>0</v>
      </c>
    </row>
    <row r="68" spans="2:4" x14ac:dyDescent="0.2">
      <c r="C68" s="17" t="s">
        <v>250</v>
      </c>
      <c r="D68">
        <v>8</v>
      </c>
    </row>
    <row r="69" spans="2:4" x14ac:dyDescent="0.2">
      <c r="B69" s="16">
        <v>7</v>
      </c>
      <c r="C69" s="17" t="s">
        <v>200</v>
      </c>
      <c r="D69">
        <v>3</v>
      </c>
    </row>
    <row r="70" spans="2:4" x14ac:dyDescent="0.2">
      <c r="B70" s="16">
        <v>8</v>
      </c>
      <c r="C70" s="17" t="s">
        <v>201</v>
      </c>
      <c r="D70">
        <v>5</v>
      </c>
    </row>
    <row r="71" spans="2:4" x14ac:dyDescent="0.2">
      <c r="B71" s="16">
        <v>9</v>
      </c>
      <c r="C71" s="17" t="s">
        <v>202</v>
      </c>
      <c r="D71">
        <v>10</v>
      </c>
    </row>
    <row r="72" spans="2:4" x14ac:dyDescent="0.2">
      <c r="B72" s="16">
        <v>10</v>
      </c>
      <c r="C72" s="17" t="s">
        <v>252</v>
      </c>
      <c r="D72">
        <v>1</v>
      </c>
    </row>
    <row r="73" spans="2:4" x14ac:dyDescent="0.2">
      <c r="B73" s="16">
        <v>11</v>
      </c>
      <c r="C73" s="17" t="s">
        <v>253</v>
      </c>
      <c r="D73">
        <v>1</v>
      </c>
    </row>
    <row r="74" spans="2:4" x14ac:dyDescent="0.2">
      <c r="B74" s="16">
        <v>12</v>
      </c>
      <c r="C74" s="17" t="s">
        <v>254</v>
      </c>
      <c r="D74">
        <v>1</v>
      </c>
    </row>
    <row r="75" spans="2:4" x14ac:dyDescent="0.2">
      <c r="B75" s="16">
        <v>13</v>
      </c>
      <c r="C75" s="17" t="s">
        <v>255</v>
      </c>
      <c r="D75">
        <v>4</v>
      </c>
    </row>
    <row r="76" spans="2:4" x14ac:dyDescent="0.2">
      <c r="B76" s="16">
        <v>14</v>
      </c>
      <c r="C76" s="17" t="s">
        <v>256</v>
      </c>
      <c r="D76">
        <v>45</v>
      </c>
    </row>
    <row r="77" spans="2:4" x14ac:dyDescent="0.2">
      <c r="B77" s="65" t="s">
        <v>116</v>
      </c>
      <c r="C77" s="65"/>
      <c r="D77" s="65"/>
    </row>
    <row r="78" spans="2:4" x14ac:dyDescent="0.2">
      <c r="B78" s="15" t="s">
        <v>203</v>
      </c>
      <c r="C78" s="15" t="s">
        <v>3</v>
      </c>
      <c r="D78" s="15" t="s">
        <v>7</v>
      </c>
    </row>
    <row r="79" spans="2:4" x14ac:dyDescent="0.2">
      <c r="B79" s="16">
        <v>1</v>
      </c>
      <c r="C79" s="17" t="s">
        <v>120</v>
      </c>
    </row>
    <row r="80" spans="2:4" x14ac:dyDescent="0.2">
      <c r="B80" s="16"/>
      <c r="C80" s="17" t="s">
        <v>257</v>
      </c>
      <c r="D80">
        <v>3</v>
      </c>
    </row>
    <row r="81" spans="2:4" x14ac:dyDescent="0.2">
      <c r="B81" s="16"/>
      <c r="C81" s="17" t="s">
        <v>258</v>
      </c>
      <c r="D81" s="17">
        <v>1</v>
      </c>
    </row>
    <row r="82" spans="2:4" x14ac:dyDescent="0.2">
      <c r="B82" s="16"/>
      <c r="C82" s="17" t="s">
        <v>259</v>
      </c>
    </row>
    <row r="83" spans="2:4" x14ac:dyDescent="0.2">
      <c r="B83" s="16"/>
      <c r="C83" s="17" t="s">
        <v>260</v>
      </c>
      <c r="D83">
        <v>1</v>
      </c>
    </row>
    <row r="84" spans="2:4" x14ac:dyDescent="0.2">
      <c r="B84" s="16"/>
      <c r="C84" s="17" t="s">
        <v>261</v>
      </c>
      <c r="D84">
        <v>1</v>
      </c>
    </row>
    <row r="85" spans="2:4" x14ac:dyDescent="0.2">
      <c r="B85" s="16"/>
      <c r="C85" s="17" t="s">
        <v>262</v>
      </c>
      <c r="D85">
        <v>3</v>
      </c>
    </row>
    <row r="86" spans="2:4" x14ac:dyDescent="0.2">
      <c r="B86" s="16"/>
      <c r="C86" s="17" t="s">
        <v>263</v>
      </c>
      <c r="D86">
        <v>2</v>
      </c>
    </row>
    <row r="87" spans="2:4" x14ac:dyDescent="0.2">
      <c r="B87" s="16">
        <v>2</v>
      </c>
      <c r="C87" s="17" t="s">
        <v>267</v>
      </c>
    </row>
    <row r="88" spans="2:4" x14ac:dyDescent="0.2">
      <c r="B88" s="16"/>
      <c r="C88" s="17" t="s">
        <v>264</v>
      </c>
      <c r="D88">
        <v>1</v>
      </c>
    </row>
    <row r="89" spans="2:4" x14ac:dyDescent="0.2">
      <c r="B89" s="16"/>
      <c r="C89" s="17" t="s">
        <v>265</v>
      </c>
      <c r="D89">
        <v>4</v>
      </c>
    </row>
    <row r="90" spans="2:4" x14ac:dyDescent="0.2">
      <c r="B90" s="16"/>
      <c r="C90" s="17" t="s">
        <v>67</v>
      </c>
      <c r="D90">
        <v>2</v>
      </c>
    </row>
    <row r="91" spans="2:4" x14ac:dyDescent="0.2">
      <c r="B91" s="16"/>
      <c r="C91" s="17" t="s">
        <v>71</v>
      </c>
      <c r="D91">
        <v>1</v>
      </c>
    </row>
    <row r="92" spans="2:4" x14ac:dyDescent="0.2">
      <c r="B92" s="16">
        <v>3</v>
      </c>
      <c r="C92" s="17" t="s">
        <v>268</v>
      </c>
    </row>
    <row r="93" spans="2:4" x14ac:dyDescent="0.2">
      <c r="B93" s="16"/>
      <c r="C93" s="17" t="s">
        <v>266</v>
      </c>
      <c r="D93">
        <v>2</v>
      </c>
    </row>
    <row r="94" spans="2:4" x14ac:dyDescent="0.2">
      <c r="B94" s="16"/>
      <c r="C94" s="17" t="s">
        <v>69</v>
      </c>
      <c r="D94">
        <v>1</v>
      </c>
    </row>
    <row r="95" spans="2:4" x14ac:dyDescent="0.2">
      <c r="B95" s="16"/>
      <c r="C95" s="17" t="s">
        <v>70</v>
      </c>
      <c r="D95">
        <v>2</v>
      </c>
    </row>
    <row r="96" spans="2:4" x14ac:dyDescent="0.2">
      <c r="B96" s="16">
        <v>4</v>
      </c>
      <c r="C96" s="17" t="s">
        <v>72</v>
      </c>
    </row>
    <row r="97" spans="2:4" x14ac:dyDescent="0.2">
      <c r="B97" s="16"/>
      <c r="C97" s="17" t="s">
        <v>72</v>
      </c>
      <c r="D97">
        <v>1</v>
      </c>
    </row>
    <row r="98" spans="2:4" x14ac:dyDescent="0.2">
      <c r="B98" s="16"/>
      <c r="C98" s="17" t="s">
        <v>269</v>
      </c>
      <c r="D98">
        <v>1</v>
      </c>
    </row>
    <row r="99" spans="2:4" x14ac:dyDescent="0.2">
      <c r="B99" s="16">
        <v>5</v>
      </c>
      <c r="C99" s="17" t="s">
        <v>74</v>
      </c>
      <c r="D99">
        <v>1</v>
      </c>
    </row>
    <row r="100" spans="2:4" x14ac:dyDescent="0.2">
      <c r="B100" s="16">
        <v>6</v>
      </c>
      <c r="C100" s="17" t="s">
        <v>270</v>
      </c>
    </row>
    <row r="101" spans="2:4" x14ac:dyDescent="0.2">
      <c r="B101" s="16"/>
      <c r="C101" s="17" t="s">
        <v>271</v>
      </c>
      <c r="D101">
        <v>1</v>
      </c>
    </row>
    <row r="102" spans="2:4" x14ac:dyDescent="0.2">
      <c r="B102" s="16"/>
      <c r="C102" s="17" t="s">
        <v>272</v>
      </c>
      <c r="D102">
        <v>2</v>
      </c>
    </row>
    <row r="103" spans="2:4" x14ac:dyDescent="0.2">
      <c r="B103" s="16">
        <v>7</v>
      </c>
      <c r="C103" s="17" t="s">
        <v>77</v>
      </c>
      <c r="D103">
        <v>3</v>
      </c>
    </row>
    <row r="104" spans="2:4" x14ac:dyDescent="0.2">
      <c r="B104" s="16">
        <v>8</v>
      </c>
      <c r="C104" s="17" t="s">
        <v>78</v>
      </c>
      <c r="D104">
        <v>3</v>
      </c>
    </row>
    <row r="105" spans="2:4" x14ac:dyDescent="0.2">
      <c r="B105" s="16">
        <v>9</v>
      </c>
      <c r="C105" s="17" t="s">
        <v>79</v>
      </c>
      <c r="D105">
        <v>1</v>
      </c>
    </row>
    <row r="106" spans="2:4" x14ac:dyDescent="0.2">
      <c r="B106" s="16">
        <v>10</v>
      </c>
      <c r="C106" s="17" t="s">
        <v>80</v>
      </c>
      <c r="D106">
        <v>1</v>
      </c>
    </row>
    <row r="107" spans="2:4" x14ac:dyDescent="0.2">
      <c r="B107" s="16">
        <v>11</v>
      </c>
      <c r="C107" s="17" t="s">
        <v>81</v>
      </c>
      <c r="D107">
        <v>1</v>
      </c>
    </row>
    <row r="108" spans="2:4" x14ac:dyDescent="0.2">
      <c r="B108" s="16">
        <v>12</v>
      </c>
      <c r="C108" s="17" t="s">
        <v>82</v>
      </c>
      <c r="D108">
        <v>2</v>
      </c>
    </row>
    <row r="109" spans="2:4" x14ac:dyDescent="0.2">
      <c r="B109" s="16">
        <v>13</v>
      </c>
      <c r="C109" s="17" t="s">
        <v>83</v>
      </c>
      <c r="D109">
        <v>6</v>
      </c>
    </row>
    <row r="110" spans="2:4" x14ac:dyDescent="0.2">
      <c r="B110" s="16">
        <v>14</v>
      </c>
      <c r="C110" s="17" t="s">
        <v>273</v>
      </c>
      <c r="D110">
        <v>1</v>
      </c>
    </row>
    <row r="111" spans="2:4" x14ac:dyDescent="0.2">
      <c r="B111" s="16">
        <v>15</v>
      </c>
      <c r="C111" s="17" t="s">
        <v>85</v>
      </c>
      <c r="D111">
        <v>4</v>
      </c>
    </row>
    <row r="112" spans="2:4" x14ac:dyDescent="0.2">
      <c r="B112" s="16">
        <v>16</v>
      </c>
      <c r="C112" s="17" t="s">
        <v>86</v>
      </c>
      <c r="D112">
        <v>1</v>
      </c>
    </row>
    <row r="113" spans="2:4" x14ac:dyDescent="0.2">
      <c r="B113" s="16">
        <v>17</v>
      </c>
      <c r="C113" s="17" t="s">
        <v>274</v>
      </c>
      <c r="D113">
        <v>4</v>
      </c>
    </row>
    <row r="114" spans="2:4" x14ac:dyDescent="0.2">
      <c r="B114" s="16">
        <v>18</v>
      </c>
      <c r="C114" s="17" t="s">
        <v>275</v>
      </c>
      <c r="D114">
        <v>2</v>
      </c>
    </row>
    <row r="115" spans="2:4" x14ac:dyDescent="0.2">
      <c r="B115" s="16">
        <v>19</v>
      </c>
      <c r="C115" s="17" t="s">
        <v>89</v>
      </c>
      <c r="D115">
        <v>1</v>
      </c>
    </row>
    <row r="116" spans="2:4" x14ac:dyDescent="0.2">
      <c r="B116" s="16">
        <v>20</v>
      </c>
      <c r="C116" s="17" t="s">
        <v>276</v>
      </c>
      <c r="D116">
        <v>1</v>
      </c>
    </row>
  </sheetData>
  <mergeCells count="4">
    <mergeCell ref="B5:D5"/>
    <mergeCell ref="B22:D22"/>
    <mergeCell ref="B45:D45"/>
    <mergeCell ref="B77:D7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election activeCell="F5" sqref="F5"/>
    </sheetView>
  </sheetViews>
  <sheetFormatPr baseColWidth="10" defaultColWidth="14.42578125" defaultRowHeight="15" customHeight="1" x14ac:dyDescent="0.2"/>
  <cols>
    <col min="1" max="1" width="4.7109375" customWidth="1"/>
    <col min="2" max="2" width="9.28515625" customWidth="1"/>
    <col min="3" max="3" width="54.85546875" customWidth="1"/>
    <col min="4" max="4" width="12.7109375" customWidth="1"/>
    <col min="5" max="5" width="5" customWidth="1"/>
    <col min="6" max="6" width="7.85546875" customWidth="1"/>
    <col min="7" max="8" width="11.42578125" customWidth="1"/>
    <col min="9" max="26" width="10.7109375" customWidth="1"/>
  </cols>
  <sheetData>
    <row r="1" spans="1:8" ht="12.75" customHeight="1" x14ac:dyDescent="0.2">
      <c r="A1" s="2"/>
      <c r="E1" s="2"/>
      <c r="F1" s="2"/>
      <c r="G1" s="2"/>
      <c r="H1" s="2"/>
    </row>
    <row r="2" spans="1:8" ht="12.75" customHeight="1" x14ac:dyDescent="0.2">
      <c r="A2" s="2"/>
      <c r="E2" s="2"/>
      <c r="F2" s="2"/>
      <c r="G2" s="2"/>
      <c r="H2" s="2"/>
    </row>
    <row r="3" spans="1:8" ht="12.75" customHeight="1" x14ac:dyDescent="0.2">
      <c r="A3" s="2"/>
      <c r="E3" s="2"/>
      <c r="F3" s="2"/>
      <c r="G3" s="2"/>
      <c r="H3" s="2"/>
    </row>
    <row r="4" spans="1:8" ht="12.75" customHeight="1" x14ac:dyDescent="0.2">
      <c r="A4" s="3" t="s">
        <v>0</v>
      </c>
      <c r="B4" s="3" t="s">
        <v>1</v>
      </c>
      <c r="C4" s="3" t="s">
        <v>3</v>
      </c>
      <c r="D4" s="3" t="s">
        <v>4</v>
      </c>
      <c r="E4" s="3" t="s">
        <v>5</v>
      </c>
      <c r="F4" s="3" t="s">
        <v>7</v>
      </c>
      <c r="G4" s="3" t="s">
        <v>8</v>
      </c>
      <c r="H4" s="3" t="s">
        <v>9</v>
      </c>
    </row>
    <row r="5" spans="1:8" ht="12.75" customHeight="1" x14ac:dyDescent="0.2">
      <c r="A5" s="4">
        <v>1</v>
      </c>
      <c r="B5" s="1">
        <v>3779</v>
      </c>
      <c r="C5" s="1" t="s">
        <v>12</v>
      </c>
      <c r="D5" s="1" t="s">
        <v>13</v>
      </c>
      <c r="E5" s="2">
        <v>3831</v>
      </c>
      <c r="F5" s="2">
        <v>13</v>
      </c>
      <c r="G5" s="2"/>
      <c r="H5" s="2"/>
    </row>
    <row r="6" spans="1:8" ht="12.75" customHeight="1" x14ac:dyDescent="0.2">
      <c r="A6" s="4">
        <v>2</v>
      </c>
      <c r="B6" s="1">
        <v>3780</v>
      </c>
      <c r="C6" s="1" t="s">
        <v>17</v>
      </c>
      <c r="D6" s="1" t="s">
        <v>13</v>
      </c>
      <c r="E6" s="2">
        <v>3831</v>
      </c>
      <c r="F6" s="2">
        <v>11</v>
      </c>
      <c r="G6" s="2"/>
      <c r="H6" s="2"/>
    </row>
    <row r="7" spans="1:8" ht="12.75" customHeight="1" x14ac:dyDescent="0.2">
      <c r="A7" s="4">
        <v>3</v>
      </c>
      <c r="B7" s="1">
        <v>2409</v>
      </c>
      <c r="C7" s="1" t="s">
        <v>18</v>
      </c>
      <c r="D7" s="1" t="s">
        <v>13</v>
      </c>
      <c r="E7" s="2">
        <v>3831</v>
      </c>
      <c r="F7" s="2"/>
      <c r="G7" s="2"/>
      <c r="H7" s="2"/>
    </row>
    <row r="8" spans="1:8" ht="12.75" customHeight="1" x14ac:dyDescent="0.2">
      <c r="A8" s="4">
        <v>4</v>
      </c>
      <c r="B8" s="1">
        <v>3788</v>
      </c>
      <c r="C8" s="1" t="s">
        <v>19</v>
      </c>
      <c r="D8" s="1" t="s">
        <v>13</v>
      </c>
      <c r="E8" s="2">
        <v>3831</v>
      </c>
      <c r="F8" s="2"/>
      <c r="G8" s="2"/>
      <c r="H8" s="2"/>
    </row>
    <row r="9" spans="1:8" ht="12.75" customHeight="1" x14ac:dyDescent="0.2">
      <c r="A9" s="4">
        <v>5</v>
      </c>
      <c r="B9" s="1">
        <v>3789</v>
      </c>
      <c r="C9" s="1" t="s">
        <v>20</v>
      </c>
      <c r="D9" s="1" t="s">
        <v>13</v>
      </c>
      <c r="E9" s="2">
        <v>3831</v>
      </c>
      <c r="F9" s="2">
        <v>28</v>
      </c>
      <c r="G9" s="2"/>
      <c r="H9" s="2"/>
    </row>
    <row r="10" spans="1:8" ht="12.75" customHeight="1" x14ac:dyDescent="0.2">
      <c r="A10" s="4">
        <v>6</v>
      </c>
      <c r="B10" s="1">
        <v>2810</v>
      </c>
      <c r="C10" s="1" t="s">
        <v>21</v>
      </c>
      <c r="D10" s="1" t="s">
        <v>13</v>
      </c>
      <c r="E10" s="2">
        <v>3831</v>
      </c>
      <c r="F10" s="2">
        <v>41</v>
      </c>
      <c r="G10" s="2"/>
      <c r="H10" s="2"/>
    </row>
    <row r="11" spans="1:8" ht="12.75" customHeight="1" x14ac:dyDescent="0.2">
      <c r="A11" s="4">
        <v>7</v>
      </c>
      <c r="B11" s="1">
        <v>3774</v>
      </c>
      <c r="C11" s="1" t="s">
        <v>22</v>
      </c>
      <c r="D11" s="1" t="s">
        <v>13</v>
      </c>
      <c r="E11" s="2">
        <v>3831</v>
      </c>
      <c r="F11" s="2"/>
      <c r="G11" s="2"/>
      <c r="H11" s="2"/>
    </row>
    <row r="12" spans="1:8" ht="12.75" customHeight="1" x14ac:dyDescent="0.2">
      <c r="A12" s="4">
        <v>8</v>
      </c>
      <c r="B12" s="1">
        <v>3785</v>
      </c>
      <c r="C12" s="1" t="s">
        <v>23</v>
      </c>
      <c r="D12" s="1" t="s">
        <v>13</v>
      </c>
      <c r="E12" s="2">
        <v>3831</v>
      </c>
      <c r="F12" s="2"/>
      <c r="G12" s="2"/>
      <c r="H12" s="2"/>
    </row>
    <row r="13" spans="1:8" ht="12.75" customHeight="1" x14ac:dyDescent="0.2">
      <c r="A13" s="4">
        <v>9</v>
      </c>
      <c r="B13" s="1">
        <v>2999</v>
      </c>
      <c r="C13" s="1" t="s">
        <v>24</v>
      </c>
      <c r="D13" s="1" t="s">
        <v>13</v>
      </c>
      <c r="E13" s="2">
        <v>3831</v>
      </c>
      <c r="F13" s="2"/>
      <c r="G13" s="2"/>
      <c r="H13" s="2"/>
    </row>
    <row r="14" spans="1:8" ht="12.75" customHeight="1" x14ac:dyDescent="0.2">
      <c r="A14" s="4">
        <v>10</v>
      </c>
      <c r="B14" s="1">
        <v>3698</v>
      </c>
      <c r="C14" s="1" t="s">
        <v>25</v>
      </c>
      <c r="D14" s="1" t="s">
        <v>13</v>
      </c>
      <c r="E14" s="2">
        <v>3831</v>
      </c>
      <c r="F14" s="2"/>
      <c r="G14" s="2"/>
      <c r="H14" s="2"/>
    </row>
    <row r="15" spans="1:8" ht="12.75" customHeight="1" x14ac:dyDescent="0.2">
      <c r="A15" s="4">
        <v>11</v>
      </c>
      <c r="B15" s="1">
        <v>3790</v>
      </c>
      <c r="C15" s="1" t="s">
        <v>26</v>
      </c>
      <c r="D15" s="1" t="s">
        <v>13</v>
      </c>
      <c r="E15" s="2">
        <v>3831</v>
      </c>
      <c r="F15" s="2"/>
      <c r="G15" s="2"/>
      <c r="H15" s="2"/>
    </row>
    <row r="16" spans="1:8" ht="12.75" customHeight="1" x14ac:dyDescent="0.2">
      <c r="A16" s="4">
        <v>12</v>
      </c>
      <c r="B16" s="1">
        <v>3784</v>
      </c>
      <c r="C16" s="1" t="s">
        <v>27</v>
      </c>
      <c r="D16" s="1" t="s">
        <v>13</v>
      </c>
      <c r="E16" s="2">
        <v>3831</v>
      </c>
      <c r="F16" s="2"/>
      <c r="G16" s="2"/>
      <c r="H16" s="2"/>
    </row>
    <row r="17" spans="1:8" ht="12.75" customHeight="1" x14ac:dyDescent="0.2">
      <c r="A17" s="4">
        <v>13</v>
      </c>
      <c r="B17" s="1">
        <v>4131</v>
      </c>
      <c r="C17" s="1" t="s">
        <v>28</v>
      </c>
      <c r="D17" s="1" t="s">
        <v>13</v>
      </c>
      <c r="E17" s="2">
        <v>3831</v>
      </c>
      <c r="F17" s="2"/>
      <c r="G17" s="2"/>
      <c r="H17" s="2"/>
    </row>
    <row r="18" spans="1:8" ht="12.75" customHeight="1" x14ac:dyDescent="0.2">
      <c r="A18" s="4">
        <v>14</v>
      </c>
      <c r="B18" s="1">
        <v>3783</v>
      </c>
      <c r="C18" s="1" t="s">
        <v>29</v>
      </c>
      <c r="D18" s="1" t="s">
        <v>13</v>
      </c>
      <c r="E18" s="2">
        <v>3831</v>
      </c>
      <c r="F18" s="2"/>
      <c r="G18" s="2"/>
      <c r="H18" s="2"/>
    </row>
    <row r="19" spans="1:8" ht="12.75" customHeight="1" x14ac:dyDescent="0.2">
      <c r="A19" s="4">
        <v>15</v>
      </c>
      <c r="B19" s="1">
        <v>3897</v>
      </c>
      <c r="C19" s="1" t="s">
        <v>30</v>
      </c>
      <c r="D19" s="1" t="s">
        <v>13</v>
      </c>
      <c r="E19" s="2">
        <v>3831</v>
      </c>
      <c r="F19" s="2"/>
      <c r="G19" s="2"/>
      <c r="H19" s="2"/>
    </row>
    <row r="20" spans="1:8" ht="12.75" customHeight="1" x14ac:dyDescent="0.2">
      <c r="A20" s="4">
        <v>16</v>
      </c>
      <c r="B20" s="1">
        <v>4130</v>
      </c>
      <c r="C20" s="1" t="s">
        <v>31</v>
      </c>
      <c r="D20" s="1" t="s">
        <v>13</v>
      </c>
      <c r="E20" s="2">
        <v>3831</v>
      </c>
      <c r="F20" s="2"/>
      <c r="G20" s="2"/>
      <c r="H20" s="2"/>
    </row>
    <row r="21" spans="1:8" ht="12.75" customHeight="1" x14ac:dyDescent="0.2">
      <c r="A21" s="4">
        <v>17</v>
      </c>
      <c r="B21" s="1">
        <v>3862</v>
      </c>
      <c r="C21" s="1" t="s">
        <v>32</v>
      </c>
      <c r="D21" s="1" t="s">
        <v>13</v>
      </c>
      <c r="E21" s="2">
        <v>744</v>
      </c>
      <c r="F21" s="2">
        <v>8</v>
      </c>
      <c r="G21" s="2"/>
      <c r="H21" s="2"/>
    </row>
    <row r="22" spans="1:8" ht="12.75" customHeight="1" x14ac:dyDescent="0.2">
      <c r="A22" s="4">
        <v>18</v>
      </c>
      <c r="B22" s="1">
        <v>3861</v>
      </c>
      <c r="C22" s="1" t="s">
        <v>33</v>
      </c>
      <c r="D22" s="1" t="s">
        <v>13</v>
      </c>
      <c r="E22" s="2">
        <v>744</v>
      </c>
      <c r="F22" s="2">
        <v>8</v>
      </c>
      <c r="G22" s="2"/>
      <c r="H22" s="2"/>
    </row>
    <row r="23" spans="1:8" ht="12.75" customHeight="1" x14ac:dyDescent="0.2">
      <c r="A23" s="4">
        <v>19</v>
      </c>
      <c r="B23" s="1">
        <v>3861</v>
      </c>
      <c r="C23" s="1" t="s">
        <v>33</v>
      </c>
      <c r="D23" s="1" t="s">
        <v>34</v>
      </c>
      <c r="E23" s="2">
        <v>744</v>
      </c>
      <c r="F23" s="2">
        <v>1</v>
      </c>
      <c r="G23" s="2"/>
      <c r="H23" s="2"/>
    </row>
    <row r="24" spans="1:8" ht="12.75" customHeight="1" x14ac:dyDescent="0.2">
      <c r="A24" s="4">
        <v>20</v>
      </c>
      <c r="B24" s="1">
        <v>4748</v>
      </c>
      <c r="C24" s="1" t="s">
        <v>35</v>
      </c>
      <c r="D24" s="1" t="s">
        <v>13</v>
      </c>
      <c r="E24" s="2">
        <v>744</v>
      </c>
      <c r="F24" s="2"/>
      <c r="G24" s="2"/>
      <c r="H24" s="2"/>
    </row>
    <row r="25" spans="1:8" ht="12.75" customHeight="1" x14ac:dyDescent="0.2">
      <c r="A25" s="4">
        <v>21</v>
      </c>
      <c r="B25" s="1">
        <v>3863</v>
      </c>
      <c r="C25" s="1" t="s">
        <v>36</v>
      </c>
      <c r="D25" s="1" t="s">
        <v>13</v>
      </c>
      <c r="E25" s="2">
        <v>744</v>
      </c>
      <c r="F25" s="2">
        <v>10</v>
      </c>
      <c r="G25" s="2"/>
      <c r="H25" s="2"/>
    </row>
    <row r="26" spans="1:8" ht="12.75" customHeight="1" x14ac:dyDescent="0.2">
      <c r="A26" s="4">
        <v>22</v>
      </c>
      <c r="B26" s="1">
        <v>3855</v>
      </c>
      <c r="C26" s="1" t="s">
        <v>37</v>
      </c>
      <c r="D26" s="1" t="s">
        <v>13</v>
      </c>
      <c r="E26" s="2">
        <v>744</v>
      </c>
      <c r="F26" s="2">
        <v>15</v>
      </c>
      <c r="G26" s="2"/>
      <c r="H26" s="2"/>
    </row>
    <row r="27" spans="1:8" ht="12.75" customHeight="1" x14ac:dyDescent="0.2">
      <c r="A27" s="4">
        <v>23</v>
      </c>
      <c r="B27" s="1">
        <v>2894</v>
      </c>
      <c r="C27" s="1" t="s">
        <v>38</v>
      </c>
      <c r="D27" s="1" t="s">
        <v>13</v>
      </c>
      <c r="E27" s="2">
        <v>744</v>
      </c>
      <c r="F27" s="2">
        <v>11</v>
      </c>
      <c r="G27" s="2"/>
      <c r="H27" s="2"/>
    </row>
    <row r="28" spans="1:8" ht="12.75" customHeight="1" x14ac:dyDescent="0.2">
      <c r="A28" s="4">
        <v>24</v>
      </c>
      <c r="B28" s="1">
        <v>3903</v>
      </c>
      <c r="C28" s="1" t="s">
        <v>39</v>
      </c>
      <c r="D28" s="1" t="s">
        <v>13</v>
      </c>
      <c r="E28" s="2">
        <v>744</v>
      </c>
      <c r="F28" s="2">
        <v>7</v>
      </c>
      <c r="G28" s="2"/>
      <c r="H28" s="2"/>
    </row>
    <row r="29" spans="1:8" ht="12.75" customHeight="1" x14ac:dyDescent="0.2">
      <c r="A29" s="4">
        <v>25</v>
      </c>
      <c r="B29" s="1">
        <v>3902</v>
      </c>
      <c r="C29" s="1" t="s">
        <v>40</v>
      </c>
      <c r="D29" s="1" t="s">
        <v>13</v>
      </c>
      <c r="E29" s="2">
        <v>744</v>
      </c>
      <c r="F29" s="2">
        <v>9</v>
      </c>
      <c r="G29" s="2"/>
      <c r="H29" s="2"/>
    </row>
    <row r="30" spans="1:8" ht="12.75" customHeight="1" x14ac:dyDescent="0.2">
      <c r="A30" s="4">
        <v>26</v>
      </c>
      <c r="B30" s="1">
        <v>2003</v>
      </c>
      <c r="C30" s="1" t="s">
        <v>41</v>
      </c>
      <c r="D30" s="1" t="s">
        <v>13</v>
      </c>
      <c r="E30" s="2">
        <v>744</v>
      </c>
      <c r="F30" s="2"/>
      <c r="G30" s="2"/>
      <c r="H30" s="2"/>
    </row>
    <row r="31" spans="1:8" ht="12.75" customHeight="1" x14ac:dyDescent="0.2">
      <c r="A31" s="4">
        <v>27</v>
      </c>
      <c r="B31" s="1">
        <v>3854</v>
      </c>
      <c r="C31" s="1" t="s">
        <v>42</v>
      </c>
      <c r="D31" s="1" t="s">
        <v>13</v>
      </c>
      <c r="E31" s="2">
        <v>5020</v>
      </c>
      <c r="F31" s="2"/>
      <c r="G31" s="2"/>
      <c r="H31" s="2"/>
    </row>
    <row r="32" spans="1:8" ht="12.75" customHeight="1" x14ac:dyDescent="0.2">
      <c r="A32" s="4">
        <v>28</v>
      </c>
      <c r="B32" s="1">
        <v>2829</v>
      </c>
      <c r="C32" s="1" t="s">
        <v>43</v>
      </c>
      <c r="D32" s="1" t="s">
        <v>13</v>
      </c>
      <c r="E32" s="2">
        <v>5020</v>
      </c>
      <c r="F32" s="2"/>
      <c r="G32" s="2"/>
      <c r="H32" s="2"/>
    </row>
    <row r="33" spans="1:8" ht="12.75" customHeight="1" x14ac:dyDescent="0.2">
      <c r="A33" s="4">
        <v>29</v>
      </c>
      <c r="B33" s="1">
        <v>3853</v>
      </c>
      <c r="C33" s="1" t="s">
        <v>44</v>
      </c>
      <c r="D33" s="1" t="s">
        <v>13</v>
      </c>
      <c r="E33" s="2">
        <v>5020</v>
      </c>
      <c r="F33" s="2"/>
      <c r="G33" s="2"/>
      <c r="H33" s="2"/>
    </row>
    <row r="34" spans="1:8" ht="12.75" customHeight="1" x14ac:dyDescent="0.2">
      <c r="A34" s="4">
        <v>30</v>
      </c>
      <c r="B34" s="1">
        <v>2831</v>
      </c>
      <c r="C34" s="1" t="s">
        <v>45</v>
      </c>
      <c r="D34" s="1" t="s">
        <v>13</v>
      </c>
      <c r="E34" s="2">
        <v>5020</v>
      </c>
      <c r="F34" s="2"/>
      <c r="G34" s="2"/>
      <c r="H34" s="2"/>
    </row>
    <row r="35" spans="1:8" ht="12.75" customHeight="1" x14ac:dyDescent="0.2">
      <c r="A35" s="4">
        <v>31</v>
      </c>
      <c r="B35" s="1">
        <v>2833</v>
      </c>
      <c r="C35" s="1" t="s">
        <v>46</v>
      </c>
      <c r="D35" s="1" t="s">
        <v>13</v>
      </c>
      <c r="E35" s="2">
        <v>5020</v>
      </c>
      <c r="F35" s="2">
        <v>6</v>
      </c>
      <c r="G35" s="2"/>
      <c r="H35" s="2"/>
    </row>
    <row r="36" spans="1:8" ht="12.75" customHeight="1" x14ac:dyDescent="0.2">
      <c r="A36" s="4">
        <v>32</v>
      </c>
      <c r="B36" s="1">
        <v>2832</v>
      </c>
      <c r="C36" s="1" t="s">
        <v>47</v>
      </c>
      <c r="D36" s="1" t="s">
        <v>13</v>
      </c>
      <c r="E36" s="2">
        <v>5020</v>
      </c>
      <c r="F36" s="2"/>
      <c r="G36" s="2"/>
      <c r="H36" s="2"/>
    </row>
    <row r="37" spans="1:8" ht="12.75" customHeight="1" x14ac:dyDescent="0.2">
      <c r="A37" s="4">
        <v>33</v>
      </c>
      <c r="B37" s="1">
        <v>3852</v>
      </c>
      <c r="C37" s="1" t="s">
        <v>48</v>
      </c>
      <c r="D37" s="1" t="s">
        <v>13</v>
      </c>
      <c r="E37" s="2">
        <v>5020</v>
      </c>
      <c r="F37" s="2"/>
      <c r="G37" s="2"/>
      <c r="H37" s="2"/>
    </row>
    <row r="38" spans="1:8" ht="12.75" customHeight="1" x14ac:dyDescent="0.2">
      <c r="A38" s="4">
        <v>34</v>
      </c>
      <c r="B38" s="1">
        <v>2834</v>
      </c>
      <c r="C38" s="1" t="s">
        <v>49</v>
      </c>
      <c r="D38" s="1" t="s">
        <v>13</v>
      </c>
      <c r="E38" s="2">
        <v>5020</v>
      </c>
      <c r="F38" s="2"/>
      <c r="G38" s="2"/>
      <c r="H38" s="2"/>
    </row>
    <row r="39" spans="1:8" ht="12.75" customHeight="1" x14ac:dyDescent="0.2">
      <c r="A39" s="4">
        <v>35</v>
      </c>
      <c r="B39" s="1">
        <v>1865</v>
      </c>
      <c r="C39" s="1" t="s">
        <v>50</v>
      </c>
      <c r="D39" s="1" t="s">
        <v>13</v>
      </c>
      <c r="E39" s="2">
        <v>5020</v>
      </c>
      <c r="F39" s="2"/>
      <c r="G39" s="2"/>
      <c r="H39" s="2"/>
    </row>
    <row r="40" spans="1:8" ht="12.75" customHeight="1" x14ac:dyDescent="0.2">
      <c r="A40" s="4">
        <v>36</v>
      </c>
      <c r="B40" s="1">
        <v>3894</v>
      </c>
      <c r="C40" s="1" t="s">
        <v>51</v>
      </c>
      <c r="D40" s="1" t="s">
        <v>13</v>
      </c>
      <c r="E40" s="2" t="s">
        <v>52</v>
      </c>
      <c r="F40" s="2"/>
      <c r="G40" s="2"/>
      <c r="H40" s="2"/>
    </row>
    <row r="41" spans="1:8" ht="12.75" customHeight="1" x14ac:dyDescent="0.2">
      <c r="A41" s="4">
        <v>37</v>
      </c>
      <c r="B41" s="1">
        <v>3892</v>
      </c>
      <c r="C41" s="1" t="s">
        <v>53</v>
      </c>
      <c r="D41" s="1" t="s">
        <v>13</v>
      </c>
      <c r="E41" s="2" t="s">
        <v>54</v>
      </c>
      <c r="F41" s="2"/>
      <c r="G41" s="2"/>
      <c r="H41" s="2"/>
    </row>
    <row r="42" spans="1:8" ht="12.75" customHeight="1" x14ac:dyDescent="0.2">
      <c r="A42" s="4">
        <v>38</v>
      </c>
      <c r="B42" s="1">
        <v>3895</v>
      </c>
      <c r="C42" s="1" t="s">
        <v>55</v>
      </c>
      <c r="D42" s="1" t="s">
        <v>34</v>
      </c>
      <c r="E42" s="2" t="s">
        <v>56</v>
      </c>
      <c r="F42" s="2">
        <v>2</v>
      </c>
      <c r="G42" s="2"/>
      <c r="H42" s="2"/>
    </row>
    <row r="43" spans="1:8" ht="12.75" customHeight="1" x14ac:dyDescent="0.2">
      <c r="A43" s="4">
        <v>39</v>
      </c>
      <c r="B43" s="1">
        <v>2837</v>
      </c>
      <c r="C43" s="1" t="s">
        <v>57</v>
      </c>
      <c r="D43" s="1" t="s">
        <v>13</v>
      </c>
      <c r="E43" s="2" t="s">
        <v>56</v>
      </c>
      <c r="F43" s="2">
        <v>1</v>
      </c>
      <c r="G43" s="2"/>
      <c r="H43" s="2"/>
    </row>
    <row r="44" spans="1:8" ht="12.75" customHeight="1" x14ac:dyDescent="0.2">
      <c r="A44" s="2"/>
      <c r="E44" s="2"/>
      <c r="F44" s="2"/>
      <c r="G44" s="2"/>
      <c r="H44" s="2"/>
    </row>
    <row r="45" spans="1:8" ht="12.75" customHeight="1" x14ac:dyDescent="0.2">
      <c r="A45" s="2"/>
      <c r="E45" s="2"/>
      <c r="F45" s="2"/>
      <c r="G45" s="2"/>
      <c r="H45" s="2"/>
    </row>
    <row r="46" spans="1:8" ht="12.75" customHeight="1" x14ac:dyDescent="0.2">
      <c r="A46" s="2"/>
      <c r="E46" s="2"/>
      <c r="F46" s="2"/>
      <c r="G46" s="2"/>
      <c r="H46" s="2"/>
    </row>
    <row r="47" spans="1:8" ht="12.75" customHeight="1" x14ac:dyDescent="0.2">
      <c r="A47" s="2"/>
      <c r="E47" s="2"/>
      <c r="F47" s="2"/>
      <c r="G47" s="2"/>
      <c r="H47" s="2"/>
    </row>
    <row r="48" spans="1:8" ht="12.75" customHeight="1" x14ac:dyDescent="0.2">
      <c r="A48" s="2"/>
      <c r="E48" s="2"/>
      <c r="F48" s="2"/>
      <c r="G48" s="2"/>
      <c r="H48" s="2"/>
    </row>
    <row r="49" spans="1:8" ht="12.75" customHeight="1" x14ac:dyDescent="0.2">
      <c r="A49" s="2"/>
      <c r="E49" s="2"/>
      <c r="F49" s="2"/>
      <c r="G49" s="2"/>
      <c r="H49" s="2"/>
    </row>
    <row r="50" spans="1:8" ht="12.75" customHeight="1" x14ac:dyDescent="0.2">
      <c r="A50" s="2"/>
      <c r="E50" s="2"/>
      <c r="F50" s="2"/>
      <c r="G50" s="2"/>
      <c r="H50" s="2"/>
    </row>
    <row r="51" spans="1:8" ht="12.75" customHeight="1" x14ac:dyDescent="0.2">
      <c r="A51" s="2"/>
      <c r="E51" s="2"/>
      <c r="F51" s="2"/>
      <c r="G51" s="2"/>
      <c r="H51" s="2"/>
    </row>
    <row r="52" spans="1:8" ht="12.75" customHeight="1" x14ac:dyDescent="0.2">
      <c r="A52" s="2"/>
      <c r="E52" s="2"/>
      <c r="F52" s="2"/>
      <c r="G52" s="2"/>
      <c r="H52" s="2"/>
    </row>
    <row r="53" spans="1:8" ht="12.75" customHeight="1" x14ac:dyDescent="0.2">
      <c r="A53" s="2"/>
      <c r="E53" s="2"/>
      <c r="F53" s="2"/>
      <c r="G53" s="2"/>
      <c r="H53" s="2"/>
    </row>
    <row r="54" spans="1:8" ht="12.75" customHeight="1" x14ac:dyDescent="0.2">
      <c r="A54" s="2"/>
      <c r="E54" s="2"/>
      <c r="F54" s="2"/>
      <c r="G54" s="2"/>
      <c r="H54" s="2"/>
    </row>
    <row r="55" spans="1:8" ht="12.75" customHeight="1" x14ac:dyDescent="0.2">
      <c r="A55" s="2"/>
      <c r="E55" s="2"/>
      <c r="F55" s="2"/>
      <c r="G55" s="2"/>
      <c r="H55" s="2"/>
    </row>
    <row r="56" spans="1:8" ht="12.75" customHeight="1" x14ac:dyDescent="0.2">
      <c r="A56" s="2"/>
      <c r="E56" s="2"/>
      <c r="F56" s="2"/>
      <c r="G56" s="2"/>
      <c r="H56" s="2"/>
    </row>
    <row r="57" spans="1:8" ht="12.75" customHeight="1" x14ac:dyDescent="0.2">
      <c r="A57" s="2"/>
      <c r="E57" s="2"/>
      <c r="F57" s="2"/>
      <c r="G57" s="2"/>
      <c r="H57" s="2"/>
    </row>
    <row r="58" spans="1:8" ht="12.75" customHeight="1" x14ac:dyDescent="0.2">
      <c r="A58" s="2"/>
      <c r="E58" s="2"/>
      <c r="F58" s="2"/>
      <c r="G58" s="2"/>
      <c r="H58" s="2"/>
    </row>
    <row r="59" spans="1:8" ht="12.75" customHeight="1" x14ac:dyDescent="0.2">
      <c r="A59" s="2"/>
      <c r="E59" s="2"/>
      <c r="F59" s="2"/>
      <c r="G59" s="2"/>
      <c r="H59" s="2"/>
    </row>
    <row r="60" spans="1:8" ht="12.75" customHeight="1" x14ac:dyDescent="0.2">
      <c r="A60" s="2"/>
      <c r="E60" s="2"/>
      <c r="F60" s="2"/>
      <c r="G60" s="2"/>
      <c r="H60" s="2"/>
    </row>
    <row r="61" spans="1:8" ht="12.75" customHeight="1" x14ac:dyDescent="0.2">
      <c r="A61" s="2"/>
      <c r="E61" s="2"/>
      <c r="F61" s="2"/>
      <c r="G61" s="2"/>
      <c r="H61" s="2"/>
    </row>
    <row r="62" spans="1:8" ht="12.75" customHeight="1" x14ac:dyDescent="0.2">
      <c r="A62" s="2"/>
      <c r="E62" s="2"/>
      <c r="F62" s="2"/>
      <c r="G62" s="2"/>
      <c r="H62" s="2"/>
    </row>
    <row r="63" spans="1:8" ht="12.75" customHeight="1" x14ac:dyDescent="0.2">
      <c r="A63" s="2"/>
      <c r="E63" s="2"/>
      <c r="F63" s="2"/>
      <c r="G63" s="2"/>
      <c r="H63" s="2"/>
    </row>
    <row r="64" spans="1:8" ht="12.75" customHeight="1" x14ac:dyDescent="0.2">
      <c r="A64" s="2"/>
      <c r="E64" s="2"/>
      <c r="F64" s="2"/>
      <c r="G64" s="2"/>
      <c r="H64" s="2"/>
    </row>
    <row r="65" spans="1:8" ht="12.75" customHeight="1" x14ac:dyDescent="0.2">
      <c r="A65" s="2"/>
      <c r="E65" s="2"/>
      <c r="F65" s="2"/>
      <c r="G65" s="2"/>
      <c r="H65" s="2"/>
    </row>
    <row r="66" spans="1:8" ht="12.75" customHeight="1" x14ac:dyDescent="0.2">
      <c r="A66" s="2"/>
      <c r="E66" s="2"/>
      <c r="F66" s="2"/>
      <c r="G66" s="2"/>
      <c r="H66" s="2"/>
    </row>
    <row r="67" spans="1:8" ht="12.75" customHeight="1" x14ac:dyDescent="0.2">
      <c r="A67" s="2"/>
      <c r="E67" s="2"/>
      <c r="F67" s="2"/>
      <c r="G67" s="2"/>
      <c r="H67" s="2"/>
    </row>
    <row r="68" spans="1:8" ht="12.75" customHeight="1" x14ac:dyDescent="0.2">
      <c r="A68" s="2"/>
      <c r="E68" s="2"/>
      <c r="F68" s="2"/>
      <c r="G68" s="2"/>
      <c r="H68" s="2"/>
    </row>
    <row r="69" spans="1:8" ht="12.75" customHeight="1" x14ac:dyDescent="0.2">
      <c r="A69" s="2"/>
      <c r="E69" s="2"/>
      <c r="F69" s="2"/>
      <c r="G69" s="2"/>
      <c r="H69" s="2"/>
    </row>
    <row r="70" spans="1:8" ht="12.75" customHeight="1" x14ac:dyDescent="0.2">
      <c r="A70" s="2"/>
      <c r="E70" s="2"/>
      <c r="F70" s="2"/>
      <c r="G70" s="2"/>
      <c r="H70" s="2"/>
    </row>
    <row r="71" spans="1:8" ht="12.75" customHeight="1" x14ac:dyDescent="0.2">
      <c r="A71" s="2"/>
      <c r="E71" s="2"/>
      <c r="F71" s="2"/>
      <c r="G71" s="2"/>
      <c r="H71" s="2"/>
    </row>
    <row r="72" spans="1:8" ht="12.75" customHeight="1" x14ac:dyDescent="0.2">
      <c r="A72" s="2"/>
      <c r="E72" s="2"/>
      <c r="F72" s="2"/>
      <c r="G72" s="2"/>
      <c r="H72" s="2"/>
    </row>
    <row r="73" spans="1:8" ht="12.75" customHeight="1" x14ac:dyDescent="0.2">
      <c r="A73" s="2"/>
      <c r="E73" s="2"/>
      <c r="F73" s="2"/>
      <c r="G73" s="2"/>
      <c r="H73" s="2"/>
    </row>
    <row r="74" spans="1:8" ht="12.75" customHeight="1" x14ac:dyDescent="0.2">
      <c r="A74" s="2"/>
      <c r="E74" s="2"/>
      <c r="F74" s="2"/>
      <c r="G74" s="2"/>
      <c r="H74" s="2"/>
    </row>
    <row r="75" spans="1:8" ht="12.75" customHeight="1" x14ac:dyDescent="0.2">
      <c r="A75" s="2"/>
      <c r="E75" s="2"/>
      <c r="F75" s="2"/>
      <c r="G75" s="2"/>
      <c r="H75" s="2"/>
    </row>
    <row r="76" spans="1:8" ht="12.75" customHeight="1" x14ac:dyDescent="0.2">
      <c r="A76" s="2"/>
      <c r="E76" s="2"/>
      <c r="F76" s="2"/>
      <c r="G76" s="2"/>
      <c r="H76" s="2"/>
    </row>
    <row r="77" spans="1:8" ht="12.75" customHeight="1" x14ac:dyDescent="0.2">
      <c r="A77" s="2"/>
      <c r="E77" s="2"/>
      <c r="F77" s="2"/>
      <c r="G77" s="2"/>
      <c r="H77" s="2"/>
    </row>
    <row r="78" spans="1:8" ht="12.75" customHeight="1" x14ac:dyDescent="0.2">
      <c r="A78" s="2"/>
      <c r="E78" s="2"/>
      <c r="F78" s="2"/>
      <c r="G78" s="2"/>
      <c r="H78" s="2"/>
    </row>
    <row r="79" spans="1:8" ht="12.75" customHeight="1" x14ac:dyDescent="0.2">
      <c r="A79" s="2"/>
      <c r="E79" s="2"/>
      <c r="F79" s="2"/>
      <c r="G79" s="2"/>
      <c r="H79" s="2"/>
    </row>
    <row r="80" spans="1:8" ht="12.75" customHeight="1" x14ac:dyDescent="0.2">
      <c r="A80" s="2"/>
      <c r="E80" s="2"/>
      <c r="F80" s="2"/>
      <c r="G80" s="2"/>
      <c r="H80" s="2"/>
    </row>
    <row r="81" spans="1:8" ht="12.75" customHeight="1" x14ac:dyDescent="0.2">
      <c r="A81" s="2"/>
      <c r="E81" s="2"/>
      <c r="F81" s="2"/>
      <c r="G81" s="2"/>
      <c r="H81" s="2"/>
    </row>
    <row r="82" spans="1:8" ht="12.75" customHeight="1" x14ac:dyDescent="0.2">
      <c r="A82" s="2"/>
      <c r="E82" s="2"/>
      <c r="F82" s="2"/>
      <c r="G82" s="2"/>
      <c r="H82" s="2"/>
    </row>
    <row r="83" spans="1:8" ht="12.75" customHeight="1" x14ac:dyDescent="0.2">
      <c r="A83" s="2"/>
      <c r="E83" s="2"/>
      <c r="F83" s="2"/>
      <c r="G83" s="2"/>
      <c r="H83" s="2"/>
    </row>
    <row r="84" spans="1:8" ht="12.75" customHeight="1" x14ac:dyDescent="0.2">
      <c r="A84" s="2"/>
      <c r="E84" s="2"/>
      <c r="F84" s="2"/>
      <c r="G84" s="2"/>
      <c r="H84" s="2"/>
    </row>
    <row r="85" spans="1:8" ht="12.75" customHeight="1" x14ac:dyDescent="0.2">
      <c r="A85" s="2"/>
      <c r="E85" s="2"/>
      <c r="F85" s="2"/>
      <c r="G85" s="2"/>
      <c r="H85" s="2"/>
    </row>
    <row r="86" spans="1:8" ht="12.75" customHeight="1" x14ac:dyDescent="0.2">
      <c r="A86" s="2"/>
      <c r="E86" s="2"/>
      <c r="F86" s="2"/>
      <c r="G86" s="2"/>
      <c r="H86" s="2"/>
    </row>
    <row r="87" spans="1:8" ht="12.75" customHeight="1" x14ac:dyDescent="0.2">
      <c r="A87" s="2"/>
      <c r="E87" s="2"/>
      <c r="F87" s="2"/>
      <c r="G87" s="2"/>
      <c r="H87" s="2"/>
    </row>
    <row r="88" spans="1:8" ht="12.75" customHeight="1" x14ac:dyDescent="0.2">
      <c r="A88" s="2"/>
      <c r="E88" s="2"/>
      <c r="F88" s="2"/>
      <c r="G88" s="2"/>
      <c r="H88" s="2"/>
    </row>
    <row r="89" spans="1:8" ht="12.75" customHeight="1" x14ac:dyDescent="0.2">
      <c r="A89" s="2"/>
      <c r="E89" s="2"/>
      <c r="F89" s="2"/>
      <c r="G89" s="2"/>
      <c r="H89" s="2"/>
    </row>
    <row r="90" spans="1:8" ht="12.75" customHeight="1" x14ac:dyDescent="0.2">
      <c r="A90" s="2"/>
      <c r="E90" s="2"/>
      <c r="F90" s="2"/>
      <c r="G90" s="2"/>
      <c r="H90" s="2"/>
    </row>
    <row r="91" spans="1:8" ht="12.75" customHeight="1" x14ac:dyDescent="0.2">
      <c r="A91" s="2"/>
      <c r="E91" s="2"/>
      <c r="F91" s="2"/>
      <c r="G91" s="2"/>
      <c r="H91" s="2"/>
    </row>
    <row r="92" spans="1:8" ht="12.75" customHeight="1" x14ac:dyDescent="0.2">
      <c r="A92" s="2"/>
      <c r="E92" s="2"/>
      <c r="F92" s="2"/>
      <c r="G92" s="2"/>
      <c r="H92" s="2"/>
    </row>
    <row r="93" spans="1:8" ht="12.75" customHeight="1" x14ac:dyDescent="0.2">
      <c r="A93" s="2"/>
      <c r="E93" s="2"/>
      <c r="F93" s="2"/>
      <c r="G93" s="2"/>
      <c r="H93" s="2"/>
    </row>
    <row r="94" spans="1:8" ht="12.75" customHeight="1" x14ac:dyDescent="0.2">
      <c r="A94" s="2"/>
      <c r="E94" s="2"/>
      <c r="F94" s="2"/>
      <c r="G94" s="2"/>
      <c r="H94" s="2"/>
    </row>
    <row r="95" spans="1:8" ht="12.75" customHeight="1" x14ac:dyDescent="0.2">
      <c r="A95" s="2"/>
      <c r="E95" s="2"/>
      <c r="F95" s="2"/>
      <c r="G95" s="2"/>
      <c r="H95" s="2"/>
    </row>
    <row r="96" spans="1:8" ht="12.75" customHeight="1" x14ac:dyDescent="0.2">
      <c r="A96" s="2"/>
      <c r="E96" s="2"/>
      <c r="F96" s="2"/>
      <c r="G96" s="2"/>
      <c r="H96" s="2"/>
    </row>
    <row r="97" spans="1:8" ht="12.75" customHeight="1" x14ac:dyDescent="0.2">
      <c r="A97" s="2"/>
      <c r="E97" s="2"/>
      <c r="F97" s="2"/>
      <c r="G97" s="2"/>
      <c r="H97" s="2"/>
    </row>
    <row r="98" spans="1:8" ht="12.75" customHeight="1" x14ac:dyDescent="0.2">
      <c r="A98" s="2"/>
      <c r="E98" s="2"/>
      <c r="F98" s="2"/>
      <c r="G98" s="2"/>
      <c r="H98" s="2"/>
    </row>
    <row r="99" spans="1:8" ht="12.75" customHeight="1" x14ac:dyDescent="0.2">
      <c r="A99" s="2"/>
      <c r="E99" s="2"/>
      <c r="F99" s="2"/>
      <c r="G99" s="2"/>
      <c r="H99" s="2"/>
    </row>
    <row r="100" spans="1:8" ht="12.75" customHeight="1" x14ac:dyDescent="0.2">
      <c r="A100" s="2"/>
      <c r="E100" s="2"/>
      <c r="F100" s="2"/>
      <c r="G100" s="2"/>
      <c r="H100" s="2"/>
    </row>
    <row r="101" spans="1:8" ht="12.75" customHeight="1" x14ac:dyDescent="0.2">
      <c r="A101" s="2"/>
      <c r="E101" s="2"/>
      <c r="F101" s="2"/>
      <c r="G101" s="2"/>
      <c r="H101" s="2"/>
    </row>
    <row r="102" spans="1:8" ht="12.75" customHeight="1" x14ac:dyDescent="0.2">
      <c r="A102" s="2"/>
      <c r="E102" s="2"/>
      <c r="F102" s="2"/>
      <c r="G102" s="2"/>
      <c r="H102" s="2"/>
    </row>
    <row r="103" spans="1:8" ht="12.75" customHeight="1" x14ac:dyDescent="0.2">
      <c r="A103" s="2"/>
      <c r="E103" s="2"/>
      <c r="F103" s="2"/>
      <c r="G103" s="2"/>
      <c r="H103" s="2"/>
    </row>
    <row r="104" spans="1:8" ht="12.75" customHeight="1" x14ac:dyDescent="0.2">
      <c r="A104" s="2"/>
      <c r="E104" s="2"/>
      <c r="F104" s="2"/>
      <c r="G104" s="2"/>
      <c r="H104" s="2"/>
    </row>
    <row r="105" spans="1:8" ht="12.75" customHeight="1" x14ac:dyDescent="0.2">
      <c r="A105" s="2"/>
      <c r="E105" s="2"/>
      <c r="F105" s="2"/>
      <c r="G105" s="2"/>
      <c r="H105" s="2"/>
    </row>
    <row r="106" spans="1:8" ht="12.75" customHeight="1" x14ac:dyDescent="0.2">
      <c r="A106" s="2"/>
      <c r="E106" s="2"/>
      <c r="F106" s="2"/>
      <c r="G106" s="2"/>
      <c r="H106" s="2"/>
    </row>
    <row r="107" spans="1:8" ht="12.75" customHeight="1" x14ac:dyDescent="0.2">
      <c r="A107" s="2"/>
      <c r="E107" s="2"/>
      <c r="F107" s="2"/>
      <c r="G107" s="2"/>
      <c r="H107" s="2"/>
    </row>
    <row r="108" spans="1:8" ht="12.75" customHeight="1" x14ac:dyDescent="0.2">
      <c r="A108" s="2"/>
      <c r="E108" s="2"/>
      <c r="F108" s="2"/>
      <c r="G108" s="2"/>
      <c r="H108" s="2"/>
    </row>
    <row r="109" spans="1:8" ht="12.75" customHeight="1" x14ac:dyDescent="0.2">
      <c r="A109" s="2"/>
      <c r="E109" s="2"/>
      <c r="F109" s="2"/>
      <c r="G109" s="2"/>
      <c r="H109" s="2"/>
    </row>
    <row r="110" spans="1:8" ht="12.75" customHeight="1" x14ac:dyDescent="0.2">
      <c r="A110" s="2"/>
      <c r="E110" s="2"/>
      <c r="F110" s="2"/>
      <c r="G110" s="2"/>
      <c r="H110" s="2"/>
    </row>
    <row r="111" spans="1:8" ht="12.75" customHeight="1" x14ac:dyDescent="0.2">
      <c r="A111" s="2"/>
      <c r="E111" s="2"/>
      <c r="F111" s="2"/>
      <c r="G111" s="2"/>
      <c r="H111" s="2"/>
    </row>
    <row r="112" spans="1:8" ht="12.75" customHeight="1" x14ac:dyDescent="0.2">
      <c r="A112" s="2"/>
      <c r="E112" s="2"/>
      <c r="F112" s="2"/>
      <c r="G112" s="2"/>
      <c r="H112" s="2"/>
    </row>
    <row r="113" spans="1:8" ht="12.75" customHeight="1" x14ac:dyDescent="0.2">
      <c r="A113" s="2"/>
      <c r="E113" s="2"/>
      <c r="F113" s="2"/>
      <c r="G113" s="2"/>
      <c r="H113" s="2"/>
    </row>
    <row r="114" spans="1:8" ht="12.75" customHeight="1" x14ac:dyDescent="0.2">
      <c r="A114" s="2"/>
      <c r="E114" s="2"/>
      <c r="F114" s="2"/>
      <c r="G114" s="2"/>
      <c r="H114" s="2"/>
    </row>
    <row r="115" spans="1:8" ht="12.75" customHeight="1" x14ac:dyDescent="0.2">
      <c r="A115" s="2"/>
      <c r="E115" s="2"/>
      <c r="F115" s="2"/>
      <c r="G115" s="2"/>
      <c r="H115" s="2"/>
    </row>
    <row r="116" spans="1:8" ht="12.75" customHeight="1" x14ac:dyDescent="0.2">
      <c r="A116" s="2"/>
      <c r="E116" s="2"/>
      <c r="F116" s="2"/>
      <c r="G116" s="2"/>
      <c r="H116" s="2"/>
    </row>
    <row r="117" spans="1:8" ht="12.75" customHeight="1" x14ac:dyDescent="0.2">
      <c r="A117" s="2"/>
      <c r="E117" s="2"/>
      <c r="F117" s="2"/>
      <c r="G117" s="2"/>
      <c r="H117" s="2"/>
    </row>
    <row r="118" spans="1:8" ht="12.75" customHeight="1" x14ac:dyDescent="0.2">
      <c r="A118" s="2"/>
      <c r="E118" s="2"/>
      <c r="F118" s="2"/>
      <c r="G118" s="2"/>
      <c r="H118" s="2"/>
    </row>
    <row r="119" spans="1:8" ht="12.75" customHeight="1" x14ac:dyDescent="0.2">
      <c r="A119" s="2"/>
      <c r="E119" s="2"/>
      <c r="F119" s="2"/>
      <c r="G119" s="2"/>
      <c r="H119" s="2"/>
    </row>
    <row r="120" spans="1:8" ht="12.75" customHeight="1" x14ac:dyDescent="0.2">
      <c r="A120" s="2"/>
      <c r="E120" s="2"/>
      <c r="F120" s="2"/>
      <c r="G120" s="2"/>
      <c r="H120" s="2"/>
    </row>
    <row r="121" spans="1:8" ht="12.75" customHeight="1" x14ac:dyDescent="0.2">
      <c r="A121" s="2"/>
      <c r="E121" s="2"/>
      <c r="F121" s="2"/>
      <c r="G121" s="2"/>
      <c r="H121" s="2"/>
    </row>
    <row r="122" spans="1:8" ht="12.75" customHeight="1" x14ac:dyDescent="0.2">
      <c r="A122" s="2"/>
      <c r="E122" s="2"/>
      <c r="F122" s="2"/>
      <c r="G122" s="2"/>
      <c r="H122" s="2"/>
    </row>
    <row r="123" spans="1:8" ht="12.75" customHeight="1" x14ac:dyDescent="0.2">
      <c r="A123" s="2"/>
      <c r="E123" s="2"/>
      <c r="F123" s="2"/>
      <c r="G123" s="2"/>
      <c r="H123" s="2"/>
    </row>
    <row r="124" spans="1:8" ht="12.75" customHeight="1" x14ac:dyDescent="0.2">
      <c r="A124" s="2"/>
      <c r="E124" s="2"/>
      <c r="F124" s="2"/>
      <c r="G124" s="2"/>
      <c r="H124" s="2"/>
    </row>
    <row r="125" spans="1:8" ht="12.75" customHeight="1" x14ac:dyDescent="0.2">
      <c r="A125" s="2"/>
      <c r="E125" s="2"/>
      <c r="F125" s="2"/>
      <c r="G125" s="2"/>
      <c r="H125" s="2"/>
    </row>
    <row r="126" spans="1:8" ht="12.75" customHeight="1" x14ac:dyDescent="0.2">
      <c r="A126" s="2"/>
      <c r="E126" s="2"/>
      <c r="F126" s="2"/>
      <c r="G126" s="2"/>
      <c r="H126" s="2"/>
    </row>
    <row r="127" spans="1:8" ht="12.75" customHeight="1" x14ac:dyDescent="0.2">
      <c r="A127" s="2"/>
      <c r="E127" s="2"/>
      <c r="F127" s="2"/>
      <c r="G127" s="2"/>
      <c r="H127" s="2"/>
    </row>
    <row r="128" spans="1:8" ht="12.75" customHeight="1" x14ac:dyDescent="0.2">
      <c r="A128" s="2"/>
      <c r="E128" s="2"/>
      <c r="F128" s="2"/>
      <c r="G128" s="2"/>
      <c r="H128" s="2"/>
    </row>
    <row r="129" spans="1:8" ht="12.75" customHeight="1" x14ac:dyDescent="0.2">
      <c r="A129" s="2"/>
      <c r="E129" s="2"/>
      <c r="F129" s="2"/>
      <c r="G129" s="2"/>
      <c r="H129" s="2"/>
    </row>
    <row r="130" spans="1:8" ht="12.75" customHeight="1" x14ac:dyDescent="0.2">
      <c r="A130" s="2"/>
      <c r="E130" s="2"/>
      <c r="F130" s="2"/>
      <c r="G130" s="2"/>
      <c r="H130" s="2"/>
    </row>
    <row r="131" spans="1:8" ht="12.75" customHeight="1" x14ac:dyDescent="0.2">
      <c r="A131" s="2"/>
      <c r="E131" s="2"/>
      <c r="F131" s="2"/>
      <c r="G131" s="2"/>
      <c r="H131" s="2"/>
    </row>
    <row r="132" spans="1:8" ht="12.75" customHeight="1" x14ac:dyDescent="0.2">
      <c r="A132" s="2"/>
      <c r="E132" s="2"/>
      <c r="F132" s="2"/>
      <c r="G132" s="2"/>
      <c r="H132" s="2"/>
    </row>
    <row r="133" spans="1:8" ht="12.75" customHeight="1" x14ac:dyDescent="0.2">
      <c r="A133" s="2"/>
      <c r="E133" s="2"/>
      <c r="F133" s="2"/>
      <c r="G133" s="2"/>
      <c r="H133" s="2"/>
    </row>
    <row r="134" spans="1:8" ht="12.75" customHeight="1" x14ac:dyDescent="0.2">
      <c r="A134" s="2"/>
      <c r="E134" s="2"/>
      <c r="F134" s="2"/>
      <c r="G134" s="2"/>
      <c r="H134" s="2"/>
    </row>
    <row r="135" spans="1:8" ht="12.75" customHeight="1" x14ac:dyDescent="0.2">
      <c r="A135" s="2"/>
      <c r="E135" s="2"/>
      <c r="F135" s="2"/>
      <c r="G135" s="2"/>
      <c r="H135" s="2"/>
    </row>
    <row r="136" spans="1:8" ht="12.75" customHeight="1" x14ac:dyDescent="0.2">
      <c r="A136" s="2"/>
      <c r="E136" s="2"/>
      <c r="F136" s="2"/>
      <c r="G136" s="2"/>
      <c r="H136" s="2"/>
    </row>
    <row r="137" spans="1:8" ht="12.75" customHeight="1" x14ac:dyDescent="0.2">
      <c r="A137" s="2"/>
      <c r="E137" s="2"/>
      <c r="F137" s="2"/>
      <c r="G137" s="2"/>
      <c r="H137" s="2"/>
    </row>
    <row r="138" spans="1:8" ht="12.75" customHeight="1" x14ac:dyDescent="0.2">
      <c r="A138" s="2"/>
      <c r="E138" s="2"/>
      <c r="F138" s="2"/>
      <c r="G138" s="2"/>
      <c r="H138" s="2"/>
    </row>
    <row r="139" spans="1:8" ht="12.75" customHeight="1" x14ac:dyDescent="0.2">
      <c r="A139" s="2"/>
      <c r="E139" s="2"/>
      <c r="F139" s="2"/>
      <c r="G139" s="2"/>
      <c r="H139" s="2"/>
    </row>
    <row r="140" spans="1:8" ht="12.75" customHeight="1" x14ac:dyDescent="0.2">
      <c r="A140" s="2"/>
      <c r="E140" s="2"/>
      <c r="F140" s="2"/>
      <c r="G140" s="2"/>
      <c r="H140" s="2"/>
    </row>
    <row r="141" spans="1:8" ht="12.75" customHeight="1" x14ac:dyDescent="0.2">
      <c r="A141" s="2"/>
      <c r="E141" s="2"/>
      <c r="F141" s="2"/>
      <c r="G141" s="2"/>
      <c r="H141" s="2"/>
    </row>
    <row r="142" spans="1:8" ht="12.75" customHeight="1" x14ac:dyDescent="0.2">
      <c r="A142" s="2"/>
      <c r="E142" s="2"/>
      <c r="F142" s="2"/>
      <c r="G142" s="2"/>
      <c r="H142" s="2"/>
    </row>
    <row r="143" spans="1:8" ht="12.75" customHeight="1" x14ac:dyDescent="0.2">
      <c r="A143" s="2"/>
      <c r="E143" s="2"/>
      <c r="F143" s="2"/>
      <c r="G143" s="2"/>
      <c r="H143" s="2"/>
    </row>
    <row r="144" spans="1:8" ht="12.75" customHeight="1" x14ac:dyDescent="0.2">
      <c r="A144" s="2"/>
      <c r="E144" s="2"/>
      <c r="F144" s="2"/>
      <c r="G144" s="2"/>
      <c r="H144" s="2"/>
    </row>
    <row r="145" spans="1:8" ht="12.75" customHeight="1" x14ac:dyDescent="0.2">
      <c r="A145" s="2"/>
      <c r="E145" s="2"/>
      <c r="F145" s="2"/>
      <c r="G145" s="2"/>
      <c r="H145" s="2"/>
    </row>
    <row r="146" spans="1:8" ht="12.75" customHeight="1" x14ac:dyDescent="0.2">
      <c r="A146" s="2"/>
      <c r="E146" s="2"/>
      <c r="F146" s="2"/>
      <c r="G146" s="2"/>
      <c r="H146" s="2"/>
    </row>
    <row r="147" spans="1:8" ht="12.75" customHeight="1" x14ac:dyDescent="0.2">
      <c r="A147" s="2"/>
      <c r="E147" s="2"/>
      <c r="F147" s="2"/>
      <c r="G147" s="2"/>
      <c r="H147" s="2"/>
    </row>
    <row r="148" spans="1:8" ht="12.75" customHeight="1" x14ac:dyDescent="0.2">
      <c r="A148" s="2"/>
      <c r="E148" s="2"/>
      <c r="F148" s="2"/>
      <c r="G148" s="2"/>
      <c r="H148" s="2"/>
    </row>
    <row r="149" spans="1:8" ht="12.75" customHeight="1" x14ac:dyDescent="0.2">
      <c r="A149" s="2"/>
      <c r="E149" s="2"/>
      <c r="F149" s="2"/>
      <c r="G149" s="2"/>
      <c r="H149" s="2"/>
    </row>
    <row r="150" spans="1:8" ht="12.75" customHeight="1" x14ac:dyDescent="0.2">
      <c r="A150" s="2"/>
      <c r="E150" s="2"/>
      <c r="F150" s="2"/>
      <c r="G150" s="2"/>
      <c r="H150" s="2"/>
    </row>
    <row r="151" spans="1:8" ht="12.75" customHeight="1" x14ac:dyDescent="0.2">
      <c r="A151" s="2"/>
      <c r="E151" s="2"/>
      <c r="F151" s="2"/>
      <c r="G151" s="2"/>
      <c r="H151" s="2"/>
    </row>
    <row r="152" spans="1:8" ht="12.75" customHeight="1" x14ac:dyDescent="0.2">
      <c r="A152" s="2"/>
      <c r="E152" s="2"/>
      <c r="F152" s="2"/>
      <c r="G152" s="2"/>
      <c r="H152" s="2"/>
    </row>
    <row r="153" spans="1:8" ht="12.75" customHeight="1" x14ac:dyDescent="0.2">
      <c r="A153" s="2"/>
      <c r="E153" s="2"/>
      <c r="F153" s="2"/>
      <c r="G153" s="2"/>
      <c r="H153" s="2"/>
    </row>
    <row r="154" spans="1:8" ht="12.75" customHeight="1" x14ac:dyDescent="0.2">
      <c r="A154" s="2"/>
      <c r="E154" s="2"/>
      <c r="F154" s="2"/>
      <c r="G154" s="2"/>
      <c r="H154" s="2"/>
    </row>
    <row r="155" spans="1:8" ht="12.75" customHeight="1" x14ac:dyDescent="0.2">
      <c r="A155" s="2"/>
      <c r="E155" s="2"/>
      <c r="F155" s="2"/>
      <c r="G155" s="2"/>
      <c r="H155" s="2"/>
    </row>
    <row r="156" spans="1:8" ht="12.75" customHeight="1" x14ac:dyDescent="0.2">
      <c r="A156" s="2"/>
      <c r="E156" s="2"/>
      <c r="F156" s="2"/>
      <c r="G156" s="2"/>
      <c r="H156" s="2"/>
    </row>
    <row r="157" spans="1:8" ht="12.75" customHeight="1" x14ac:dyDescent="0.2">
      <c r="A157" s="2"/>
      <c r="E157" s="2"/>
      <c r="F157" s="2"/>
      <c r="G157" s="2"/>
      <c r="H157" s="2"/>
    </row>
    <row r="158" spans="1:8" ht="12.75" customHeight="1" x14ac:dyDescent="0.2">
      <c r="A158" s="2"/>
      <c r="E158" s="2"/>
      <c r="F158" s="2"/>
      <c r="G158" s="2"/>
      <c r="H158" s="2"/>
    </row>
    <row r="159" spans="1:8" ht="12.75" customHeight="1" x14ac:dyDescent="0.2">
      <c r="A159" s="2"/>
      <c r="E159" s="2"/>
      <c r="F159" s="2"/>
      <c r="G159" s="2"/>
      <c r="H159" s="2"/>
    </row>
    <row r="160" spans="1:8" ht="12.75" customHeight="1" x14ac:dyDescent="0.2">
      <c r="A160" s="2"/>
      <c r="E160" s="2"/>
      <c r="F160" s="2"/>
      <c r="G160" s="2"/>
      <c r="H160" s="2"/>
    </row>
    <row r="161" spans="1:8" ht="12.75" customHeight="1" x14ac:dyDescent="0.2">
      <c r="A161" s="2"/>
      <c r="E161" s="2"/>
      <c r="F161" s="2"/>
      <c r="G161" s="2"/>
      <c r="H161" s="2"/>
    </row>
    <row r="162" spans="1:8" ht="12.75" customHeight="1" x14ac:dyDescent="0.2">
      <c r="A162" s="2"/>
      <c r="E162" s="2"/>
      <c r="F162" s="2"/>
      <c r="G162" s="2"/>
      <c r="H162" s="2"/>
    </row>
    <row r="163" spans="1:8" ht="12.75" customHeight="1" x14ac:dyDescent="0.2">
      <c r="A163" s="2"/>
      <c r="E163" s="2"/>
      <c r="F163" s="2"/>
      <c r="G163" s="2"/>
      <c r="H163" s="2"/>
    </row>
    <row r="164" spans="1:8" ht="12.75" customHeight="1" x14ac:dyDescent="0.2">
      <c r="A164" s="2"/>
      <c r="E164" s="2"/>
      <c r="F164" s="2"/>
      <c r="G164" s="2"/>
      <c r="H164" s="2"/>
    </row>
    <row r="165" spans="1:8" ht="12.75" customHeight="1" x14ac:dyDescent="0.2">
      <c r="A165" s="2"/>
      <c r="E165" s="2"/>
      <c r="F165" s="2"/>
      <c r="G165" s="2"/>
      <c r="H165" s="2"/>
    </row>
    <row r="166" spans="1:8" ht="12.75" customHeight="1" x14ac:dyDescent="0.2">
      <c r="A166" s="2"/>
      <c r="E166" s="2"/>
      <c r="F166" s="2"/>
      <c r="G166" s="2"/>
      <c r="H166" s="2"/>
    </row>
    <row r="167" spans="1:8" ht="12.75" customHeight="1" x14ac:dyDescent="0.2">
      <c r="A167" s="2"/>
      <c r="E167" s="2"/>
      <c r="F167" s="2"/>
      <c r="G167" s="2"/>
      <c r="H167" s="2"/>
    </row>
    <row r="168" spans="1:8" ht="12.75" customHeight="1" x14ac:dyDescent="0.2">
      <c r="A168" s="2"/>
      <c r="E168" s="2"/>
      <c r="F168" s="2"/>
      <c r="G168" s="2"/>
      <c r="H168" s="2"/>
    </row>
    <row r="169" spans="1:8" ht="12.75" customHeight="1" x14ac:dyDescent="0.2">
      <c r="A169" s="2"/>
      <c r="E169" s="2"/>
      <c r="F169" s="2"/>
      <c r="G169" s="2"/>
      <c r="H169" s="2"/>
    </row>
    <row r="170" spans="1:8" ht="12.75" customHeight="1" x14ac:dyDescent="0.2">
      <c r="A170" s="2"/>
      <c r="E170" s="2"/>
      <c r="F170" s="2"/>
      <c r="G170" s="2"/>
      <c r="H170" s="2"/>
    </row>
    <row r="171" spans="1:8" ht="12.75" customHeight="1" x14ac:dyDescent="0.2">
      <c r="A171" s="2"/>
      <c r="E171" s="2"/>
      <c r="F171" s="2"/>
      <c r="G171" s="2"/>
      <c r="H171" s="2"/>
    </row>
    <row r="172" spans="1:8" ht="12.75" customHeight="1" x14ac:dyDescent="0.2">
      <c r="A172" s="2"/>
      <c r="E172" s="2"/>
      <c r="F172" s="2"/>
      <c r="G172" s="2"/>
      <c r="H172" s="2"/>
    </row>
    <row r="173" spans="1:8" ht="12.75" customHeight="1" x14ac:dyDescent="0.2">
      <c r="A173" s="2"/>
      <c r="E173" s="2"/>
      <c r="F173" s="2"/>
      <c r="G173" s="2"/>
      <c r="H173" s="2"/>
    </row>
    <row r="174" spans="1:8" ht="12.75" customHeight="1" x14ac:dyDescent="0.2">
      <c r="A174" s="2"/>
      <c r="E174" s="2"/>
      <c r="F174" s="2"/>
      <c r="G174" s="2"/>
      <c r="H174" s="2"/>
    </row>
    <row r="175" spans="1:8" ht="12.75" customHeight="1" x14ac:dyDescent="0.2">
      <c r="A175" s="2"/>
      <c r="E175" s="2"/>
      <c r="F175" s="2"/>
      <c r="G175" s="2"/>
      <c r="H175" s="2"/>
    </row>
    <row r="176" spans="1:8" ht="12.75" customHeight="1" x14ac:dyDescent="0.2">
      <c r="A176" s="2"/>
      <c r="E176" s="2"/>
      <c r="F176" s="2"/>
      <c r="G176" s="2"/>
      <c r="H176" s="2"/>
    </row>
    <row r="177" spans="1:8" ht="12.75" customHeight="1" x14ac:dyDescent="0.2">
      <c r="A177" s="2"/>
      <c r="E177" s="2"/>
      <c r="F177" s="2"/>
      <c r="G177" s="2"/>
      <c r="H177" s="2"/>
    </row>
    <row r="178" spans="1:8" ht="12.75" customHeight="1" x14ac:dyDescent="0.2">
      <c r="A178" s="2"/>
      <c r="E178" s="2"/>
      <c r="F178" s="2"/>
      <c r="G178" s="2"/>
      <c r="H178" s="2"/>
    </row>
    <row r="179" spans="1:8" ht="12.75" customHeight="1" x14ac:dyDescent="0.2">
      <c r="A179" s="2"/>
      <c r="E179" s="2"/>
      <c r="F179" s="2"/>
      <c r="G179" s="2"/>
      <c r="H179" s="2"/>
    </row>
    <row r="180" spans="1:8" ht="12.75" customHeight="1" x14ac:dyDescent="0.2">
      <c r="A180" s="2"/>
      <c r="E180" s="2"/>
      <c r="F180" s="2"/>
      <c r="G180" s="2"/>
      <c r="H180" s="2"/>
    </row>
    <row r="181" spans="1:8" ht="12.75" customHeight="1" x14ac:dyDescent="0.2">
      <c r="A181" s="2"/>
      <c r="E181" s="2"/>
      <c r="F181" s="2"/>
      <c r="G181" s="2"/>
      <c r="H181" s="2"/>
    </row>
    <row r="182" spans="1:8" ht="12.75" customHeight="1" x14ac:dyDescent="0.2">
      <c r="A182" s="2"/>
      <c r="E182" s="2"/>
      <c r="F182" s="2"/>
      <c r="G182" s="2"/>
      <c r="H182" s="2"/>
    </row>
    <row r="183" spans="1:8" ht="12.75" customHeight="1" x14ac:dyDescent="0.2">
      <c r="A183" s="2"/>
      <c r="E183" s="2"/>
      <c r="F183" s="2"/>
      <c r="G183" s="2"/>
      <c r="H183" s="2"/>
    </row>
    <row r="184" spans="1:8" ht="12.75" customHeight="1" x14ac:dyDescent="0.2">
      <c r="A184" s="2"/>
      <c r="E184" s="2"/>
      <c r="F184" s="2"/>
      <c r="G184" s="2"/>
      <c r="H184" s="2"/>
    </row>
    <row r="185" spans="1:8" ht="12.75" customHeight="1" x14ac:dyDescent="0.2">
      <c r="A185" s="2"/>
      <c r="E185" s="2"/>
      <c r="F185" s="2"/>
      <c r="G185" s="2"/>
      <c r="H185" s="2"/>
    </row>
    <row r="186" spans="1:8" ht="12.75" customHeight="1" x14ac:dyDescent="0.2">
      <c r="A186" s="2"/>
      <c r="E186" s="2"/>
      <c r="F186" s="2"/>
      <c r="G186" s="2"/>
      <c r="H186" s="2"/>
    </row>
    <row r="187" spans="1:8" ht="12.75" customHeight="1" x14ac:dyDescent="0.2">
      <c r="A187" s="2"/>
      <c r="E187" s="2"/>
      <c r="F187" s="2"/>
      <c r="G187" s="2"/>
      <c r="H187" s="2"/>
    </row>
    <row r="188" spans="1:8" ht="12.75" customHeight="1" x14ac:dyDescent="0.2">
      <c r="A188" s="2"/>
      <c r="E188" s="2"/>
      <c r="F188" s="2"/>
      <c r="G188" s="2"/>
      <c r="H188" s="2"/>
    </row>
    <row r="189" spans="1:8" ht="12.75" customHeight="1" x14ac:dyDescent="0.2">
      <c r="A189" s="2"/>
      <c r="E189" s="2"/>
      <c r="F189" s="2"/>
      <c r="G189" s="2"/>
      <c r="H189" s="2"/>
    </row>
    <row r="190" spans="1:8" ht="12.75" customHeight="1" x14ac:dyDescent="0.2">
      <c r="A190" s="2"/>
      <c r="E190" s="2"/>
      <c r="F190" s="2"/>
      <c r="G190" s="2"/>
      <c r="H190" s="2"/>
    </row>
    <row r="191" spans="1:8" ht="12.75" customHeight="1" x14ac:dyDescent="0.2">
      <c r="A191" s="2"/>
      <c r="E191" s="2"/>
      <c r="F191" s="2"/>
      <c r="G191" s="2"/>
      <c r="H191" s="2"/>
    </row>
    <row r="192" spans="1:8" ht="12.75" customHeight="1" x14ac:dyDescent="0.2">
      <c r="A192" s="2"/>
      <c r="E192" s="2"/>
      <c r="F192" s="2"/>
      <c r="G192" s="2"/>
      <c r="H192" s="2"/>
    </row>
    <row r="193" spans="1:8" ht="12.75" customHeight="1" x14ac:dyDescent="0.2">
      <c r="A193" s="2"/>
      <c r="E193" s="2"/>
      <c r="F193" s="2"/>
      <c r="G193" s="2"/>
      <c r="H193" s="2"/>
    </row>
    <row r="194" spans="1:8" ht="12.75" customHeight="1" x14ac:dyDescent="0.2">
      <c r="A194" s="2"/>
      <c r="E194" s="2"/>
      <c r="F194" s="2"/>
      <c r="G194" s="2"/>
      <c r="H194" s="2"/>
    </row>
    <row r="195" spans="1:8" ht="12.75" customHeight="1" x14ac:dyDescent="0.2">
      <c r="A195" s="2"/>
      <c r="E195" s="2"/>
      <c r="F195" s="2"/>
      <c r="G195" s="2"/>
      <c r="H195" s="2"/>
    </row>
    <row r="196" spans="1:8" ht="12.75" customHeight="1" x14ac:dyDescent="0.2">
      <c r="A196" s="2"/>
      <c r="E196" s="2"/>
      <c r="F196" s="2"/>
      <c r="G196" s="2"/>
      <c r="H196" s="2"/>
    </row>
    <row r="197" spans="1:8" ht="12.75" customHeight="1" x14ac:dyDescent="0.2">
      <c r="A197" s="2"/>
      <c r="E197" s="2"/>
      <c r="F197" s="2"/>
      <c r="G197" s="2"/>
      <c r="H197" s="2"/>
    </row>
    <row r="198" spans="1:8" ht="12.75" customHeight="1" x14ac:dyDescent="0.2">
      <c r="A198" s="2"/>
      <c r="E198" s="2"/>
      <c r="F198" s="2"/>
      <c r="G198" s="2"/>
      <c r="H198" s="2"/>
    </row>
    <row r="199" spans="1:8" ht="12.75" customHeight="1" x14ac:dyDescent="0.2">
      <c r="A199" s="2"/>
      <c r="E199" s="2"/>
      <c r="F199" s="2"/>
      <c r="G199" s="2"/>
      <c r="H199" s="2"/>
    </row>
    <row r="200" spans="1:8" ht="12.75" customHeight="1" x14ac:dyDescent="0.2">
      <c r="A200" s="2"/>
      <c r="E200" s="2"/>
      <c r="F200" s="2"/>
      <c r="G200" s="2"/>
      <c r="H200" s="2"/>
    </row>
    <row r="201" spans="1:8" ht="12.75" customHeight="1" x14ac:dyDescent="0.2">
      <c r="A201" s="2"/>
      <c r="E201" s="2"/>
      <c r="F201" s="2"/>
      <c r="G201" s="2"/>
      <c r="H201" s="2"/>
    </row>
    <row r="202" spans="1:8" ht="12.75" customHeight="1" x14ac:dyDescent="0.2">
      <c r="A202" s="2"/>
      <c r="E202" s="2"/>
      <c r="F202" s="2"/>
      <c r="G202" s="2"/>
      <c r="H202" s="2"/>
    </row>
    <row r="203" spans="1:8" ht="12.75" customHeight="1" x14ac:dyDescent="0.2">
      <c r="A203" s="2"/>
      <c r="E203" s="2"/>
      <c r="F203" s="2"/>
      <c r="G203" s="2"/>
      <c r="H203" s="2"/>
    </row>
    <row r="204" spans="1:8" ht="12.75" customHeight="1" x14ac:dyDescent="0.2">
      <c r="A204" s="2"/>
      <c r="E204" s="2"/>
      <c r="F204" s="2"/>
      <c r="G204" s="2"/>
      <c r="H204" s="2"/>
    </row>
    <row r="205" spans="1:8" ht="12.75" customHeight="1" x14ac:dyDescent="0.2">
      <c r="A205" s="2"/>
      <c r="E205" s="2"/>
      <c r="F205" s="2"/>
      <c r="G205" s="2"/>
      <c r="H205" s="2"/>
    </row>
    <row r="206" spans="1:8" ht="12.75" customHeight="1" x14ac:dyDescent="0.2">
      <c r="A206" s="2"/>
      <c r="E206" s="2"/>
      <c r="F206" s="2"/>
      <c r="G206" s="2"/>
      <c r="H206" s="2"/>
    </row>
    <row r="207" spans="1:8" ht="12.75" customHeight="1" x14ac:dyDescent="0.2">
      <c r="A207" s="2"/>
      <c r="E207" s="2"/>
      <c r="F207" s="2"/>
      <c r="G207" s="2"/>
      <c r="H207" s="2"/>
    </row>
    <row r="208" spans="1:8" ht="12.75" customHeight="1" x14ac:dyDescent="0.2">
      <c r="A208" s="2"/>
      <c r="E208" s="2"/>
      <c r="F208" s="2"/>
      <c r="G208" s="2"/>
      <c r="H208" s="2"/>
    </row>
    <row r="209" spans="1:8" ht="12.75" customHeight="1" x14ac:dyDescent="0.2">
      <c r="A209" s="2"/>
      <c r="E209" s="2"/>
      <c r="F209" s="2"/>
      <c r="G209" s="2"/>
      <c r="H209" s="2"/>
    </row>
    <row r="210" spans="1:8" ht="12.75" customHeight="1" x14ac:dyDescent="0.2">
      <c r="A210" s="2"/>
      <c r="E210" s="2"/>
      <c r="F210" s="2"/>
      <c r="G210" s="2"/>
      <c r="H210" s="2"/>
    </row>
    <row r="211" spans="1:8" ht="12.75" customHeight="1" x14ac:dyDescent="0.2">
      <c r="A211" s="2"/>
      <c r="E211" s="2"/>
      <c r="F211" s="2"/>
      <c r="G211" s="2"/>
      <c r="H211" s="2"/>
    </row>
    <row r="212" spans="1:8" ht="12.75" customHeight="1" x14ac:dyDescent="0.2">
      <c r="A212" s="2"/>
      <c r="E212" s="2"/>
      <c r="F212" s="2"/>
      <c r="G212" s="2"/>
      <c r="H212" s="2"/>
    </row>
    <row r="213" spans="1:8" ht="12.75" customHeight="1" x14ac:dyDescent="0.2">
      <c r="A213" s="2"/>
      <c r="E213" s="2"/>
      <c r="F213" s="2"/>
      <c r="G213" s="2"/>
      <c r="H213" s="2"/>
    </row>
    <row r="214" spans="1:8" ht="12.75" customHeight="1" x14ac:dyDescent="0.2">
      <c r="A214" s="2"/>
      <c r="E214" s="2"/>
      <c r="F214" s="2"/>
      <c r="G214" s="2"/>
      <c r="H214" s="2"/>
    </row>
    <row r="215" spans="1:8" ht="12.75" customHeight="1" x14ac:dyDescent="0.2">
      <c r="A215" s="2"/>
      <c r="E215" s="2"/>
      <c r="F215" s="2"/>
      <c r="G215" s="2"/>
      <c r="H215" s="2"/>
    </row>
    <row r="216" spans="1:8" ht="12.75" customHeight="1" x14ac:dyDescent="0.2">
      <c r="A216" s="2"/>
      <c r="E216" s="2"/>
      <c r="F216" s="2"/>
      <c r="G216" s="2"/>
      <c r="H216" s="2"/>
    </row>
    <row r="217" spans="1:8" ht="12.75" customHeight="1" x14ac:dyDescent="0.2">
      <c r="A217" s="2"/>
      <c r="E217" s="2"/>
      <c r="F217" s="2"/>
      <c r="G217" s="2"/>
      <c r="H217" s="2"/>
    </row>
    <row r="218" spans="1:8" ht="12.75" customHeight="1" x14ac:dyDescent="0.2">
      <c r="A218" s="2"/>
      <c r="E218" s="2"/>
      <c r="F218" s="2"/>
      <c r="G218" s="2"/>
      <c r="H218" s="2"/>
    </row>
    <row r="219" spans="1:8" ht="12.75" customHeight="1" x14ac:dyDescent="0.2">
      <c r="A219" s="2"/>
      <c r="E219" s="2"/>
      <c r="F219" s="2"/>
      <c r="G219" s="2"/>
      <c r="H219" s="2"/>
    </row>
    <row r="220" spans="1:8" ht="12.75" customHeight="1" x14ac:dyDescent="0.2">
      <c r="A220" s="2"/>
      <c r="E220" s="2"/>
      <c r="F220" s="2"/>
      <c r="G220" s="2"/>
      <c r="H220" s="2"/>
    </row>
    <row r="221" spans="1:8" ht="12.75" customHeight="1" x14ac:dyDescent="0.2">
      <c r="A221" s="2"/>
      <c r="E221" s="2"/>
      <c r="F221" s="2"/>
      <c r="G221" s="2"/>
      <c r="H221" s="2"/>
    </row>
    <row r="222" spans="1:8" ht="12.75" customHeight="1" x14ac:dyDescent="0.2">
      <c r="A222" s="2"/>
      <c r="E222" s="2"/>
      <c r="F222" s="2"/>
      <c r="G222" s="2"/>
      <c r="H222" s="2"/>
    </row>
    <row r="223" spans="1:8" ht="12.75" customHeight="1" x14ac:dyDescent="0.2">
      <c r="A223" s="2"/>
      <c r="E223" s="2"/>
      <c r="F223" s="2"/>
      <c r="G223" s="2"/>
      <c r="H223" s="2"/>
    </row>
    <row r="224" spans="1:8" ht="12.75" customHeight="1" x14ac:dyDescent="0.2">
      <c r="A224" s="2"/>
      <c r="E224" s="2"/>
      <c r="F224" s="2"/>
      <c r="G224" s="2"/>
      <c r="H224" s="2"/>
    </row>
    <row r="225" spans="1:8" ht="12.75" customHeight="1" x14ac:dyDescent="0.2">
      <c r="A225" s="2"/>
      <c r="E225" s="2"/>
      <c r="F225" s="2"/>
      <c r="G225" s="2"/>
      <c r="H225" s="2"/>
    </row>
    <row r="226" spans="1:8" ht="12.75" customHeight="1" x14ac:dyDescent="0.2">
      <c r="A226" s="2"/>
      <c r="E226" s="2"/>
      <c r="F226" s="2"/>
      <c r="G226" s="2"/>
      <c r="H226" s="2"/>
    </row>
    <row r="227" spans="1:8" ht="12.75" customHeight="1" x14ac:dyDescent="0.2">
      <c r="A227" s="2"/>
      <c r="E227" s="2"/>
      <c r="F227" s="2"/>
      <c r="G227" s="2"/>
      <c r="H227" s="2"/>
    </row>
    <row r="228" spans="1:8" ht="12.75" customHeight="1" x14ac:dyDescent="0.2">
      <c r="A228" s="2"/>
      <c r="E228" s="2"/>
      <c r="F228" s="2"/>
      <c r="G228" s="2"/>
      <c r="H228" s="2"/>
    </row>
    <row r="229" spans="1:8" ht="12.75" customHeight="1" x14ac:dyDescent="0.2">
      <c r="A229" s="2"/>
      <c r="E229" s="2"/>
      <c r="F229" s="2"/>
      <c r="G229" s="2"/>
      <c r="H229" s="2"/>
    </row>
    <row r="230" spans="1:8" ht="12.75" customHeight="1" x14ac:dyDescent="0.2">
      <c r="A230" s="2"/>
      <c r="E230" s="2"/>
      <c r="F230" s="2"/>
      <c r="G230" s="2"/>
      <c r="H230" s="2"/>
    </row>
    <row r="231" spans="1:8" ht="12.75" customHeight="1" x14ac:dyDescent="0.2">
      <c r="A231" s="2"/>
      <c r="E231" s="2"/>
      <c r="F231" s="2"/>
      <c r="G231" s="2"/>
      <c r="H231" s="2"/>
    </row>
    <row r="232" spans="1:8" ht="12.75" customHeight="1" x14ac:dyDescent="0.2">
      <c r="A232" s="2"/>
      <c r="E232" s="2"/>
      <c r="F232" s="2"/>
      <c r="G232" s="2"/>
      <c r="H232" s="2"/>
    </row>
    <row r="233" spans="1:8" ht="12.75" customHeight="1" x14ac:dyDescent="0.2">
      <c r="A233" s="2"/>
      <c r="E233" s="2"/>
      <c r="F233" s="2"/>
      <c r="G233" s="2"/>
      <c r="H233" s="2"/>
    </row>
    <row r="234" spans="1:8" ht="12.75" customHeight="1" x14ac:dyDescent="0.2">
      <c r="A234" s="2"/>
      <c r="E234" s="2"/>
      <c r="F234" s="2"/>
      <c r="G234" s="2"/>
      <c r="H234" s="2"/>
    </row>
    <row r="235" spans="1:8" ht="12.75" customHeight="1" x14ac:dyDescent="0.2">
      <c r="A235" s="2"/>
      <c r="E235" s="2"/>
      <c r="F235" s="2"/>
      <c r="G235" s="2"/>
      <c r="H235" s="2"/>
    </row>
    <row r="236" spans="1:8" ht="12.75" customHeight="1" x14ac:dyDescent="0.2">
      <c r="A236" s="2"/>
      <c r="E236" s="2"/>
      <c r="F236" s="2"/>
      <c r="G236" s="2"/>
      <c r="H236" s="2"/>
    </row>
    <row r="237" spans="1:8" ht="12.75" customHeight="1" x14ac:dyDescent="0.2">
      <c r="A237" s="2"/>
      <c r="E237" s="2"/>
      <c r="F237" s="2"/>
      <c r="G237" s="2"/>
      <c r="H237" s="2"/>
    </row>
    <row r="238" spans="1:8" ht="12.75" customHeight="1" x14ac:dyDescent="0.2">
      <c r="A238" s="2"/>
      <c r="E238" s="2"/>
      <c r="F238" s="2"/>
      <c r="G238" s="2"/>
      <c r="H238" s="2"/>
    </row>
    <row r="239" spans="1:8" ht="12.75" customHeight="1" x14ac:dyDescent="0.2">
      <c r="A239" s="2"/>
      <c r="E239" s="2"/>
      <c r="F239" s="2"/>
      <c r="G239" s="2"/>
      <c r="H239" s="2"/>
    </row>
    <row r="240" spans="1:8" ht="12.75" customHeight="1" x14ac:dyDescent="0.2">
      <c r="A240" s="2"/>
      <c r="E240" s="2"/>
      <c r="F240" s="2"/>
      <c r="G240" s="2"/>
      <c r="H240" s="2"/>
    </row>
    <row r="241" spans="1:8" ht="12.75" customHeight="1" x14ac:dyDescent="0.2">
      <c r="A241" s="2"/>
      <c r="E241" s="2"/>
      <c r="F241" s="2"/>
      <c r="G241" s="2"/>
      <c r="H241" s="2"/>
    </row>
    <row r="242" spans="1:8" ht="12.75" customHeight="1" x14ac:dyDescent="0.2">
      <c r="A242" s="2"/>
      <c r="E242" s="2"/>
      <c r="F242" s="2"/>
      <c r="G242" s="2"/>
      <c r="H242" s="2"/>
    </row>
    <row r="243" spans="1:8" ht="12.75" customHeight="1" x14ac:dyDescent="0.2">
      <c r="A243" s="2"/>
      <c r="E243" s="2"/>
      <c r="F243" s="2"/>
      <c r="G243" s="2"/>
      <c r="H243" s="2"/>
    </row>
    <row r="244" spans="1:8" ht="12.75" customHeight="1" x14ac:dyDescent="0.2">
      <c r="A244" s="2"/>
      <c r="E244" s="2"/>
      <c r="F244" s="2"/>
      <c r="G244" s="2"/>
      <c r="H244" s="2"/>
    </row>
    <row r="245" spans="1:8" ht="12.75" customHeight="1" x14ac:dyDescent="0.2">
      <c r="A245" s="2"/>
      <c r="E245" s="2"/>
      <c r="F245" s="2"/>
      <c r="G245" s="2"/>
      <c r="H245" s="2"/>
    </row>
    <row r="246" spans="1:8" ht="12.75" customHeight="1" x14ac:dyDescent="0.2">
      <c r="A246" s="2"/>
      <c r="E246" s="2"/>
      <c r="F246" s="2"/>
      <c r="G246" s="2"/>
      <c r="H246" s="2"/>
    </row>
    <row r="247" spans="1:8" ht="12.75" customHeight="1" x14ac:dyDescent="0.2">
      <c r="A247" s="2"/>
      <c r="E247" s="2"/>
      <c r="F247" s="2"/>
      <c r="G247" s="2"/>
      <c r="H247" s="2"/>
    </row>
    <row r="248" spans="1:8" ht="12.75" customHeight="1" x14ac:dyDescent="0.2">
      <c r="A248" s="2"/>
      <c r="E248" s="2"/>
      <c r="F248" s="2"/>
      <c r="G248" s="2"/>
      <c r="H248" s="2"/>
    </row>
    <row r="249" spans="1:8" ht="12.75" customHeight="1" x14ac:dyDescent="0.2">
      <c r="A249" s="2"/>
      <c r="E249" s="2"/>
      <c r="F249" s="2"/>
      <c r="G249" s="2"/>
      <c r="H249" s="2"/>
    </row>
    <row r="250" spans="1:8" ht="12.75" customHeight="1" x14ac:dyDescent="0.2">
      <c r="A250" s="2"/>
      <c r="E250" s="2"/>
      <c r="F250" s="2"/>
      <c r="G250" s="2"/>
      <c r="H250" s="2"/>
    </row>
    <row r="251" spans="1:8" ht="12.75" customHeight="1" x14ac:dyDescent="0.2">
      <c r="A251" s="2"/>
      <c r="E251" s="2"/>
      <c r="F251" s="2"/>
      <c r="G251" s="2"/>
      <c r="H251" s="2"/>
    </row>
    <row r="252" spans="1:8" ht="12.75" customHeight="1" x14ac:dyDescent="0.2">
      <c r="A252" s="2"/>
      <c r="E252" s="2"/>
      <c r="F252" s="2"/>
      <c r="G252" s="2"/>
      <c r="H252" s="2"/>
    </row>
    <row r="253" spans="1:8" ht="12.75" customHeight="1" x14ac:dyDescent="0.2">
      <c r="A253" s="2"/>
      <c r="E253" s="2"/>
      <c r="F253" s="2"/>
      <c r="G253" s="2"/>
      <c r="H253" s="2"/>
    </row>
    <row r="254" spans="1:8" ht="12.75" customHeight="1" x14ac:dyDescent="0.2">
      <c r="A254" s="2"/>
      <c r="E254" s="2"/>
      <c r="F254" s="2"/>
      <c r="G254" s="2"/>
      <c r="H254" s="2"/>
    </row>
    <row r="255" spans="1:8" ht="12.75" customHeight="1" x14ac:dyDescent="0.2">
      <c r="A255" s="2"/>
      <c r="E255" s="2"/>
      <c r="F255" s="2"/>
      <c r="G255" s="2"/>
      <c r="H255" s="2"/>
    </row>
    <row r="256" spans="1:8" ht="12.75" customHeight="1" x14ac:dyDescent="0.2">
      <c r="A256" s="2"/>
      <c r="E256" s="2"/>
      <c r="F256" s="2"/>
      <c r="G256" s="2"/>
      <c r="H256" s="2"/>
    </row>
    <row r="257" spans="1:8" ht="12.75" customHeight="1" x14ac:dyDescent="0.2">
      <c r="A257" s="2"/>
      <c r="E257" s="2"/>
      <c r="F257" s="2"/>
      <c r="G257" s="2"/>
      <c r="H257" s="2"/>
    </row>
    <row r="258" spans="1:8" ht="12.75" customHeight="1" x14ac:dyDescent="0.2">
      <c r="A258" s="2"/>
      <c r="E258" s="2"/>
      <c r="F258" s="2"/>
      <c r="G258" s="2"/>
      <c r="H258" s="2"/>
    </row>
    <row r="259" spans="1:8" ht="12.75" customHeight="1" x14ac:dyDescent="0.2">
      <c r="A259" s="2"/>
      <c r="E259" s="2"/>
      <c r="F259" s="2"/>
      <c r="G259" s="2"/>
      <c r="H259" s="2"/>
    </row>
    <row r="260" spans="1:8" ht="12.75" customHeight="1" x14ac:dyDescent="0.2">
      <c r="A260" s="2"/>
      <c r="E260" s="2"/>
      <c r="F260" s="2"/>
      <c r="G260" s="2"/>
      <c r="H260" s="2"/>
    </row>
    <row r="261" spans="1:8" ht="12.75" customHeight="1" x14ac:dyDescent="0.2">
      <c r="A261" s="2"/>
      <c r="E261" s="2"/>
      <c r="F261" s="2"/>
      <c r="G261" s="2"/>
      <c r="H261" s="2"/>
    </row>
    <row r="262" spans="1:8" ht="12.75" customHeight="1" x14ac:dyDescent="0.2">
      <c r="A262" s="2"/>
      <c r="E262" s="2"/>
      <c r="F262" s="2"/>
      <c r="G262" s="2"/>
      <c r="H262" s="2"/>
    </row>
    <row r="263" spans="1:8" ht="12.75" customHeight="1" x14ac:dyDescent="0.2">
      <c r="A263" s="2"/>
      <c r="E263" s="2"/>
      <c r="F263" s="2"/>
      <c r="G263" s="2"/>
      <c r="H263" s="2"/>
    </row>
    <row r="264" spans="1:8" ht="12.75" customHeight="1" x14ac:dyDescent="0.2">
      <c r="A264" s="2"/>
      <c r="E264" s="2"/>
      <c r="F264" s="2"/>
      <c r="G264" s="2"/>
      <c r="H264" s="2"/>
    </row>
    <row r="265" spans="1:8" ht="12.75" customHeight="1" x14ac:dyDescent="0.2">
      <c r="A265" s="2"/>
      <c r="E265" s="2"/>
      <c r="F265" s="2"/>
      <c r="G265" s="2"/>
      <c r="H265" s="2"/>
    </row>
    <row r="266" spans="1:8" ht="12.75" customHeight="1" x14ac:dyDescent="0.2">
      <c r="A266" s="2"/>
      <c r="E266" s="2"/>
      <c r="F266" s="2"/>
      <c r="G266" s="2"/>
      <c r="H266" s="2"/>
    </row>
    <row r="267" spans="1:8" ht="12.75" customHeight="1" x14ac:dyDescent="0.2">
      <c r="A267" s="2"/>
      <c r="E267" s="2"/>
      <c r="F267" s="2"/>
      <c r="G267" s="2"/>
      <c r="H267" s="2"/>
    </row>
    <row r="268" spans="1:8" ht="12.75" customHeight="1" x14ac:dyDescent="0.2">
      <c r="A268" s="2"/>
      <c r="E268" s="2"/>
      <c r="F268" s="2"/>
      <c r="G268" s="2"/>
      <c r="H268" s="2"/>
    </row>
    <row r="269" spans="1:8" ht="12.75" customHeight="1" x14ac:dyDescent="0.2">
      <c r="A269" s="2"/>
      <c r="E269" s="2"/>
      <c r="F269" s="2"/>
      <c r="G269" s="2"/>
      <c r="H269" s="2"/>
    </row>
    <row r="270" spans="1:8" ht="12.75" customHeight="1" x14ac:dyDescent="0.2">
      <c r="A270" s="2"/>
      <c r="E270" s="2"/>
      <c r="F270" s="2"/>
      <c r="G270" s="2"/>
      <c r="H270" s="2"/>
    </row>
    <row r="271" spans="1:8" ht="12.75" customHeight="1" x14ac:dyDescent="0.2">
      <c r="A271" s="2"/>
      <c r="E271" s="2"/>
      <c r="F271" s="2"/>
      <c r="G271" s="2"/>
      <c r="H271" s="2"/>
    </row>
    <row r="272" spans="1:8" ht="12.75" customHeight="1" x14ac:dyDescent="0.2">
      <c r="A272" s="2"/>
      <c r="E272" s="2"/>
      <c r="F272" s="2"/>
      <c r="G272" s="2"/>
      <c r="H272" s="2"/>
    </row>
    <row r="273" spans="1:8" ht="12.75" customHeight="1" x14ac:dyDescent="0.2">
      <c r="A273" s="2"/>
      <c r="E273" s="2"/>
      <c r="F273" s="2"/>
      <c r="G273" s="2"/>
      <c r="H273" s="2"/>
    </row>
    <row r="274" spans="1:8" ht="12.75" customHeight="1" x14ac:dyDescent="0.2">
      <c r="A274" s="2"/>
      <c r="E274" s="2"/>
      <c r="F274" s="2"/>
      <c r="G274" s="2"/>
      <c r="H274" s="2"/>
    </row>
    <row r="275" spans="1:8" ht="12.75" customHeight="1" x14ac:dyDescent="0.2">
      <c r="A275" s="2"/>
      <c r="E275" s="2"/>
      <c r="F275" s="2"/>
      <c r="G275" s="2"/>
      <c r="H275" s="2"/>
    </row>
    <row r="276" spans="1:8" ht="12.75" customHeight="1" x14ac:dyDescent="0.2">
      <c r="A276" s="2"/>
      <c r="E276" s="2"/>
      <c r="F276" s="2"/>
      <c r="G276" s="2"/>
      <c r="H276" s="2"/>
    </row>
    <row r="277" spans="1:8" ht="12.75" customHeight="1" x14ac:dyDescent="0.2">
      <c r="A277" s="2"/>
      <c r="E277" s="2"/>
      <c r="F277" s="2"/>
      <c r="G277" s="2"/>
      <c r="H277" s="2"/>
    </row>
    <row r="278" spans="1:8" ht="12.75" customHeight="1" x14ac:dyDescent="0.2">
      <c r="A278" s="2"/>
      <c r="E278" s="2"/>
      <c r="F278" s="2"/>
      <c r="G278" s="2"/>
      <c r="H278" s="2"/>
    </row>
    <row r="279" spans="1:8" ht="12.75" customHeight="1" x14ac:dyDescent="0.2">
      <c r="A279" s="2"/>
      <c r="E279" s="2"/>
      <c r="F279" s="2"/>
      <c r="G279" s="2"/>
      <c r="H279" s="2"/>
    </row>
    <row r="280" spans="1:8" ht="12.75" customHeight="1" x14ac:dyDescent="0.2">
      <c r="A280" s="2"/>
      <c r="E280" s="2"/>
      <c r="F280" s="2"/>
      <c r="G280" s="2"/>
      <c r="H280" s="2"/>
    </row>
    <row r="281" spans="1:8" ht="12.75" customHeight="1" x14ac:dyDescent="0.2">
      <c r="A281" s="2"/>
      <c r="E281" s="2"/>
      <c r="F281" s="2"/>
      <c r="G281" s="2"/>
      <c r="H281" s="2"/>
    </row>
    <row r="282" spans="1:8" ht="12.75" customHeight="1" x14ac:dyDescent="0.2">
      <c r="A282" s="2"/>
      <c r="E282" s="2"/>
      <c r="F282" s="2"/>
      <c r="G282" s="2"/>
      <c r="H282" s="2"/>
    </row>
    <row r="283" spans="1:8" ht="12.75" customHeight="1" x14ac:dyDescent="0.2">
      <c r="A283" s="2"/>
      <c r="E283" s="2"/>
      <c r="F283" s="2"/>
      <c r="G283" s="2"/>
      <c r="H283" s="2"/>
    </row>
    <row r="284" spans="1:8" ht="12.75" customHeight="1" x14ac:dyDescent="0.2">
      <c r="A284" s="2"/>
      <c r="E284" s="2"/>
      <c r="F284" s="2"/>
      <c r="G284" s="2"/>
      <c r="H284" s="2"/>
    </row>
    <row r="285" spans="1:8" ht="12.75" customHeight="1" x14ac:dyDescent="0.2">
      <c r="A285" s="2"/>
      <c r="E285" s="2"/>
      <c r="F285" s="2"/>
      <c r="G285" s="2"/>
      <c r="H285" s="2"/>
    </row>
    <row r="286" spans="1:8" ht="12.75" customHeight="1" x14ac:dyDescent="0.2">
      <c r="A286" s="2"/>
      <c r="E286" s="2"/>
      <c r="F286" s="2"/>
      <c r="G286" s="2"/>
      <c r="H286" s="2"/>
    </row>
    <row r="287" spans="1:8" ht="12.75" customHeight="1" x14ac:dyDescent="0.2">
      <c r="A287" s="2"/>
      <c r="E287" s="2"/>
      <c r="F287" s="2"/>
      <c r="G287" s="2"/>
      <c r="H287" s="2"/>
    </row>
    <row r="288" spans="1:8" ht="12.75" customHeight="1" x14ac:dyDescent="0.2">
      <c r="A288" s="2"/>
      <c r="E288" s="2"/>
      <c r="F288" s="2"/>
      <c r="G288" s="2"/>
      <c r="H288" s="2"/>
    </row>
    <row r="289" spans="1:8" ht="12.75" customHeight="1" x14ac:dyDescent="0.2">
      <c r="A289" s="2"/>
      <c r="E289" s="2"/>
      <c r="F289" s="2"/>
      <c r="G289" s="2"/>
      <c r="H289" s="2"/>
    </row>
    <row r="290" spans="1:8" ht="12.75" customHeight="1" x14ac:dyDescent="0.2">
      <c r="A290" s="2"/>
      <c r="E290" s="2"/>
      <c r="F290" s="2"/>
      <c r="G290" s="2"/>
      <c r="H290" s="2"/>
    </row>
    <row r="291" spans="1:8" ht="12.75" customHeight="1" x14ac:dyDescent="0.2">
      <c r="A291" s="2"/>
      <c r="E291" s="2"/>
      <c r="F291" s="2"/>
      <c r="G291" s="2"/>
      <c r="H291" s="2"/>
    </row>
    <row r="292" spans="1:8" ht="12.75" customHeight="1" x14ac:dyDescent="0.2">
      <c r="A292" s="2"/>
      <c r="E292" s="2"/>
      <c r="F292" s="2"/>
      <c r="G292" s="2"/>
      <c r="H292" s="2"/>
    </row>
    <row r="293" spans="1:8" ht="12.75" customHeight="1" x14ac:dyDescent="0.2">
      <c r="A293" s="2"/>
      <c r="E293" s="2"/>
      <c r="F293" s="2"/>
      <c r="G293" s="2"/>
      <c r="H293" s="2"/>
    </row>
    <row r="294" spans="1:8" ht="12.75" customHeight="1" x14ac:dyDescent="0.2">
      <c r="A294" s="2"/>
      <c r="E294" s="2"/>
      <c r="F294" s="2"/>
      <c r="G294" s="2"/>
      <c r="H294" s="2"/>
    </row>
    <row r="295" spans="1:8" ht="12.75" customHeight="1" x14ac:dyDescent="0.2">
      <c r="A295" s="2"/>
      <c r="E295" s="2"/>
      <c r="F295" s="2"/>
      <c r="G295" s="2"/>
      <c r="H295" s="2"/>
    </row>
    <row r="296" spans="1:8" ht="12.75" customHeight="1" x14ac:dyDescent="0.2">
      <c r="A296" s="2"/>
      <c r="E296" s="2"/>
      <c r="F296" s="2"/>
      <c r="G296" s="2"/>
      <c r="H296" s="2"/>
    </row>
    <row r="297" spans="1:8" ht="12.75" customHeight="1" x14ac:dyDescent="0.2">
      <c r="A297" s="2"/>
      <c r="E297" s="2"/>
      <c r="F297" s="2"/>
      <c r="G297" s="2"/>
      <c r="H297" s="2"/>
    </row>
    <row r="298" spans="1:8" ht="12.75" customHeight="1" x14ac:dyDescent="0.2">
      <c r="A298" s="2"/>
      <c r="E298" s="2"/>
      <c r="F298" s="2"/>
      <c r="G298" s="2"/>
      <c r="H298" s="2"/>
    </row>
    <row r="299" spans="1:8" ht="12.75" customHeight="1" x14ac:dyDescent="0.2">
      <c r="A299" s="2"/>
      <c r="E299" s="2"/>
      <c r="F299" s="2"/>
      <c r="G299" s="2"/>
      <c r="H299" s="2"/>
    </row>
    <row r="300" spans="1:8" ht="12.75" customHeight="1" x14ac:dyDescent="0.2">
      <c r="A300" s="2"/>
      <c r="E300" s="2"/>
      <c r="F300" s="2"/>
      <c r="G300" s="2"/>
      <c r="H300" s="2"/>
    </row>
    <row r="301" spans="1:8" ht="12.75" customHeight="1" x14ac:dyDescent="0.2">
      <c r="A301" s="2"/>
      <c r="E301" s="2"/>
      <c r="F301" s="2"/>
      <c r="G301" s="2"/>
      <c r="H301" s="2"/>
    </row>
    <row r="302" spans="1:8" ht="12.75" customHeight="1" x14ac:dyDescent="0.2">
      <c r="A302" s="2"/>
      <c r="E302" s="2"/>
      <c r="F302" s="2"/>
      <c r="G302" s="2"/>
      <c r="H302" s="2"/>
    </row>
    <row r="303" spans="1:8" ht="12.75" customHeight="1" x14ac:dyDescent="0.2">
      <c r="A303" s="2"/>
      <c r="E303" s="2"/>
      <c r="F303" s="2"/>
      <c r="G303" s="2"/>
      <c r="H303" s="2"/>
    </row>
    <row r="304" spans="1:8" ht="12.75" customHeight="1" x14ac:dyDescent="0.2">
      <c r="A304" s="2"/>
      <c r="E304" s="2"/>
      <c r="F304" s="2"/>
      <c r="G304" s="2"/>
      <c r="H304" s="2"/>
    </row>
    <row r="305" spans="1:8" ht="12.75" customHeight="1" x14ac:dyDescent="0.2">
      <c r="A305" s="2"/>
      <c r="E305" s="2"/>
      <c r="F305" s="2"/>
      <c r="G305" s="2"/>
      <c r="H305" s="2"/>
    </row>
    <row r="306" spans="1:8" ht="12.75" customHeight="1" x14ac:dyDescent="0.2">
      <c r="A306" s="2"/>
      <c r="E306" s="2"/>
      <c r="F306" s="2"/>
      <c r="G306" s="2"/>
      <c r="H306" s="2"/>
    </row>
    <row r="307" spans="1:8" ht="12.75" customHeight="1" x14ac:dyDescent="0.2">
      <c r="A307" s="2"/>
      <c r="E307" s="2"/>
      <c r="F307" s="2"/>
      <c r="G307" s="2"/>
      <c r="H307" s="2"/>
    </row>
    <row r="308" spans="1:8" ht="12.75" customHeight="1" x14ac:dyDescent="0.2">
      <c r="A308" s="2"/>
      <c r="E308" s="2"/>
      <c r="F308" s="2"/>
      <c r="G308" s="2"/>
      <c r="H308" s="2"/>
    </row>
    <row r="309" spans="1:8" ht="12.75" customHeight="1" x14ac:dyDescent="0.2">
      <c r="A309" s="2"/>
      <c r="E309" s="2"/>
      <c r="F309" s="2"/>
      <c r="G309" s="2"/>
      <c r="H309" s="2"/>
    </row>
    <row r="310" spans="1:8" ht="12.75" customHeight="1" x14ac:dyDescent="0.2">
      <c r="A310" s="2"/>
      <c r="E310" s="2"/>
      <c r="F310" s="2"/>
      <c r="G310" s="2"/>
      <c r="H310" s="2"/>
    </row>
    <row r="311" spans="1:8" ht="12.75" customHeight="1" x14ac:dyDescent="0.2">
      <c r="A311" s="2"/>
      <c r="E311" s="2"/>
      <c r="F311" s="2"/>
      <c r="G311" s="2"/>
      <c r="H311" s="2"/>
    </row>
    <row r="312" spans="1:8" ht="12.75" customHeight="1" x14ac:dyDescent="0.2">
      <c r="A312" s="2"/>
      <c r="E312" s="2"/>
      <c r="F312" s="2"/>
      <c r="G312" s="2"/>
      <c r="H312" s="2"/>
    </row>
    <row r="313" spans="1:8" ht="12.75" customHeight="1" x14ac:dyDescent="0.2">
      <c r="A313" s="2"/>
      <c r="E313" s="2"/>
      <c r="F313" s="2"/>
      <c r="G313" s="2"/>
      <c r="H313" s="2"/>
    </row>
    <row r="314" spans="1:8" ht="12.75" customHeight="1" x14ac:dyDescent="0.2">
      <c r="A314" s="2"/>
      <c r="E314" s="2"/>
      <c r="F314" s="2"/>
      <c r="G314" s="2"/>
      <c r="H314" s="2"/>
    </row>
    <row r="315" spans="1:8" ht="12.75" customHeight="1" x14ac:dyDescent="0.2">
      <c r="A315" s="2"/>
      <c r="E315" s="2"/>
      <c r="F315" s="2"/>
      <c r="G315" s="2"/>
      <c r="H315" s="2"/>
    </row>
    <row r="316" spans="1:8" ht="12.75" customHeight="1" x14ac:dyDescent="0.2">
      <c r="A316" s="2"/>
      <c r="E316" s="2"/>
      <c r="F316" s="2"/>
      <c r="G316" s="2"/>
      <c r="H316" s="2"/>
    </row>
    <row r="317" spans="1:8" ht="12.75" customHeight="1" x14ac:dyDescent="0.2">
      <c r="A317" s="2"/>
      <c r="E317" s="2"/>
      <c r="F317" s="2"/>
      <c r="G317" s="2"/>
      <c r="H317" s="2"/>
    </row>
    <row r="318" spans="1:8" ht="12.75" customHeight="1" x14ac:dyDescent="0.2">
      <c r="A318" s="2"/>
      <c r="E318" s="2"/>
      <c r="F318" s="2"/>
      <c r="G318" s="2"/>
      <c r="H318" s="2"/>
    </row>
    <row r="319" spans="1:8" ht="12.75" customHeight="1" x14ac:dyDescent="0.2">
      <c r="A319" s="2"/>
      <c r="E319" s="2"/>
      <c r="F319" s="2"/>
      <c r="G319" s="2"/>
      <c r="H319" s="2"/>
    </row>
    <row r="320" spans="1:8" ht="12.75" customHeight="1" x14ac:dyDescent="0.2">
      <c r="A320" s="2"/>
      <c r="E320" s="2"/>
      <c r="F320" s="2"/>
      <c r="G320" s="2"/>
      <c r="H320" s="2"/>
    </row>
    <row r="321" spans="1:8" ht="12.75" customHeight="1" x14ac:dyDescent="0.2">
      <c r="A321" s="2"/>
      <c r="E321" s="2"/>
      <c r="F321" s="2"/>
      <c r="G321" s="2"/>
      <c r="H321" s="2"/>
    </row>
    <row r="322" spans="1:8" ht="12.75" customHeight="1" x14ac:dyDescent="0.2">
      <c r="A322" s="2"/>
      <c r="E322" s="2"/>
      <c r="F322" s="2"/>
      <c r="G322" s="2"/>
      <c r="H322" s="2"/>
    </row>
    <row r="323" spans="1:8" ht="12.75" customHeight="1" x14ac:dyDescent="0.2">
      <c r="A323" s="2"/>
      <c r="E323" s="2"/>
      <c r="F323" s="2"/>
      <c r="G323" s="2"/>
      <c r="H323" s="2"/>
    </row>
    <row r="324" spans="1:8" ht="12.75" customHeight="1" x14ac:dyDescent="0.2">
      <c r="A324" s="2"/>
      <c r="E324" s="2"/>
      <c r="F324" s="2"/>
      <c r="G324" s="2"/>
      <c r="H324" s="2"/>
    </row>
    <row r="325" spans="1:8" ht="12.75" customHeight="1" x14ac:dyDescent="0.2">
      <c r="A325" s="2"/>
      <c r="E325" s="2"/>
      <c r="F325" s="2"/>
      <c r="G325" s="2"/>
      <c r="H325" s="2"/>
    </row>
    <row r="326" spans="1:8" ht="12.75" customHeight="1" x14ac:dyDescent="0.2">
      <c r="A326" s="2"/>
      <c r="E326" s="2"/>
      <c r="F326" s="2"/>
      <c r="G326" s="2"/>
      <c r="H326" s="2"/>
    </row>
    <row r="327" spans="1:8" ht="12.75" customHeight="1" x14ac:dyDescent="0.2">
      <c r="A327" s="2"/>
      <c r="E327" s="2"/>
      <c r="F327" s="2"/>
      <c r="G327" s="2"/>
      <c r="H327" s="2"/>
    </row>
    <row r="328" spans="1:8" ht="12.75" customHeight="1" x14ac:dyDescent="0.2">
      <c r="A328" s="2"/>
      <c r="E328" s="2"/>
      <c r="F328" s="2"/>
      <c r="G328" s="2"/>
      <c r="H328" s="2"/>
    </row>
    <row r="329" spans="1:8" ht="12.75" customHeight="1" x14ac:dyDescent="0.2">
      <c r="A329" s="2"/>
      <c r="E329" s="2"/>
      <c r="F329" s="2"/>
      <c r="G329" s="2"/>
      <c r="H329" s="2"/>
    </row>
    <row r="330" spans="1:8" ht="12.75" customHeight="1" x14ac:dyDescent="0.2">
      <c r="A330" s="2"/>
      <c r="E330" s="2"/>
      <c r="F330" s="2"/>
      <c r="G330" s="2"/>
      <c r="H330" s="2"/>
    </row>
    <row r="331" spans="1:8" ht="12.75" customHeight="1" x14ac:dyDescent="0.2">
      <c r="A331" s="2"/>
      <c r="E331" s="2"/>
      <c r="F331" s="2"/>
      <c r="G331" s="2"/>
      <c r="H331" s="2"/>
    </row>
    <row r="332" spans="1:8" ht="12.75" customHeight="1" x14ac:dyDescent="0.2">
      <c r="A332" s="2"/>
      <c r="E332" s="2"/>
      <c r="F332" s="2"/>
      <c r="G332" s="2"/>
      <c r="H332" s="2"/>
    </row>
    <row r="333" spans="1:8" ht="12.75" customHeight="1" x14ac:dyDescent="0.2">
      <c r="A333" s="2"/>
      <c r="E333" s="2"/>
      <c r="F333" s="2"/>
      <c r="G333" s="2"/>
      <c r="H333" s="2"/>
    </row>
    <row r="334" spans="1:8" ht="12.75" customHeight="1" x14ac:dyDescent="0.2">
      <c r="A334" s="2"/>
      <c r="E334" s="2"/>
      <c r="F334" s="2"/>
      <c r="G334" s="2"/>
      <c r="H334" s="2"/>
    </row>
    <row r="335" spans="1:8" ht="12.75" customHeight="1" x14ac:dyDescent="0.2">
      <c r="A335" s="2"/>
      <c r="E335" s="2"/>
      <c r="F335" s="2"/>
      <c r="G335" s="2"/>
      <c r="H335" s="2"/>
    </row>
    <row r="336" spans="1:8" ht="12.75" customHeight="1" x14ac:dyDescent="0.2">
      <c r="A336" s="2"/>
      <c r="E336" s="2"/>
      <c r="F336" s="2"/>
      <c r="G336" s="2"/>
      <c r="H336" s="2"/>
    </row>
    <row r="337" spans="1:8" ht="12.75" customHeight="1" x14ac:dyDescent="0.2">
      <c r="A337" s="2"/>
      <c r="E337" s="2"/>
      <c r="F337" s="2"/>
      <c r="G337" s="2"/>
      <c r="H337" s="2"/>
    </row>
    <row r="338" spans="1:8" ht="12.75" customHeight="1" x14ac:dyDescent="0.2">
      <c r="A338" s="2"/>
      <c r="E338" s="2"/>
      <c r="F338" s="2"/>
      <c r="G338" s="2"/>
      <c r="H338" s="2"/>
    </row>
    <row r="339" spans="1:8" ht="12.75" customHeight="1" x14ac:dyDescent="0.2">
      <c r="A339" s="2"/>
      <c r="E339" s="2"/>
      <c r="F339" s="2"/>
      <c r="G339" s="2"/>
      <c r="H339" s="2"/>
    </row>
    <row r="340" spans="1:8" ht="12.75" customHeight="1" x14ac:dyDescent="0.2">
      <c r="A340" s="2"/>
      <c r="E340" s="2"/>
      <c r="F340" s="2"/>
      <c r="G340" s="2"/>
      <c r="H340" s="2"/>
    </row>
    <row r="341" spans="1:8" ht="12.75" customHeight="1" x14ac:dyDescent="0.2">
      <c r="A341" s="2"/>
      <c r="E341" s="2"/>
      <c r="F341" s="2"/>
      <c r="G341" s="2"/>
      <c r="H341" s="2"/>
    </row>
    <row r="342" spans="1:8" ht="12.75" customHeight="1" x14ac:dyDescent="0.2">
      <c r="A342" s="2"/>
      <c r="E342" s="2"/>
      <c r="F342" s="2"/>
      <c r="G342" s="2"/>
      <c r="H342" s="2"/>
    </row>
    <row r="343" spans="1:8" ht="12.75" customHeight="1" x14ac:dyDescent="0.2">
      <c r="A343" s="2"/>
      <c r="E343" s="2"/>
      <c r="F343" s="2"/>
      <c r="G343" s="2"/>
      <c r="H343" s="2"/>
    </row>
    <row r="344" spans="1:8" ht="12.75" customHeight="1" x14ac:dyDescent="0.2">
      <c r="A344" s="2"/>
      <c r="E344" s="2"/>
      <c r="F344" s="2"/>
      <c r="G344" s="2"/>
      <c r="H344" s="2"/>
    </row>
    <row r="345" spans="1:8" ht="12.75" customHeight="1" x14ac:dyDescent="0.2">
      <c r="A345" s="2"/>
      <c r="E345" s="2"/>
      <c r="F345" s="2"/>
      <c r="G345" s="2"/>
      <c r="H345" s="2"/>
    </row>
    <row r="346" spans="1:8" ht="12.75" customHeight="1" x14ac:dyDescent="0.2">
      <c r="A346" s="2"/>
      <c r="E346" s="2"/>
      <c r="F346" s="2"/>
      <c r="G346" s="2"/>
      <c r="H346" s="2"/>
    </row>
    <row r="347" spans="1:8" ht="12.75" customHeight="1" x14ac:dyDescent="0.2">
      <c r="A347" s="2"/>
      <c r="E347" s="2"/>
      <c r="F347" s="2"/>
      <c r="G347" s="2"/>
      <c r="H347" s="2"/>
    </row>
    <row r="348" spans="1:8" ht="12.75" customHeight="1" x14ac:dyDescent="0.2">
      <c r="A348" s="2"/>
      <c r="E348" s="2"/>
      <c r="F348" s="2"/>
      <c r="G348" s="2"/>
      <c r="H348" s="2"/>
    </row>
    <row r="349" spans="1:8" ht="12.75" customHeight="1" x14ac:dyDescent="0.2">
      <c r="A349" s="2"/>
      <c r="E349" s="2"/>
      <c r="F349" s="2"/>
      <c r="G349" s="2"/>
      <c r="H349" s="2"/>
    </row>
    <row r="350" spans="1:8" ht="12.75" customHeight="1" x14ac:dyDescent="0.2">
      <c r="A350" s="2"/>
      <c r="E350" s="2"/>
      <c r="F350" s="2"/>
      <c r="G350" s="2"/>
      <c r="H350" s="2"/>
    </row>
    <row r="351" spans="1:8" ht="12.75" customHeight="1" x14ac:dyDescent="0.2">
      <c r="A351" s="2"/>
      <c r="E351" s="2"/>
      <c r="F351" s="2"/>
      <c r="G351" s="2"/>
      <c r="H351" s="2"/>
    </row>
    <row r="352" spans="1:8" ht="12.75" customHeight="1" x14ac:dyDescent="0.2">
      <c r="A352" s="2"/>
      <c r="E352" s="2"/>
      <c r="F352" s="2"/>
      <c r="G352" s="2"/>
      <c r="H352" s="2"/>
    </row>
    <row r="353" spans="1:8" ht="12.75" customHeight="1" x14ac:dyDescent="0.2">
      <c r="A353" s="2"/>
      <c r="E353" s="2"/>
      <c r="F353" s="2"/>
      <c r="G353" s="2"/>
      <c r="H353" s="2"/>
    </row>
    <row r="354" spans="1:8" ht="12.75" customHeight="1" x14ac:dyDescent="0.2">
      <c r="A354" s="2"/>
      <c r="E354" s="2"/>
      <c r="F354" s="2"/>
      <c r="G354" s="2"/>
      <c r="H354" s="2"/>
    </row>
    <row r="355" spans="1:8" ht="12.75" customHeight="1" x14ac:dyDescent="0.2">
      <c r="A355" s="2"/>
      <c r="E355" s="2"/>
      <c r="F355" s="2"/>
      <c r="G355" s="2"/>
      <c r="H355" s="2"/>
    </row>
    <row r="356" spans="1:8" ht="12.75" customHeight="1" x14ac:dyDescent="0.2">
      <c r="A356" s="2"/>
      <c r="E356" s="2"/>
      <c r="F356" s="2"/>
      <c r="G356" s="2"/>
      <c r="H356" s="2"/>
    </row>
    <row r="357" spans="1:8" ht="12.75" customHeight="1" x14ac:dyDescent="0.2">
      <c r="A357" s="2"/>
      <c r="E357" s="2"/>
      <c r="F357" s="2"/>
      <c r="G357" s="2"/>
      <c r="H357" s="2"/>
    </row>
    <row r="358" spans="1:8" ht="12.75" customHeight="1" x14ac:dyDescent="0.2">
      <c r="A358" s="2"/>
      <c r="E358" s="2"/>
      <c r="F358" s="2"/>
      <c r="G358" s="2"/>
      <c r="H358" s="2"/>
    </row>
    <row r="359" spans="1:8" ht="12.75" customHeight="1" x14ac:dyDescent="0.2">
      <c r="A359" s="2"/>
      <c r="E359" s="2"/>
      <c r="F359" s="2"/>
      <c r="G359" s="2"/>
      <c r="H359" s="2"/>
    </row>
    <row r="360" spans="1:8" ht="12.75" customHeight="1" x14ac:dyDescent="0.2">
      <c r="A360" s="2"/>
      <c r="E360" s="2"/>
      <c r="F360" s="2"/>
      <c r="G360" s="2"/>
      <c r="H360" s="2"/>
    </row>
    <row r="361" spans="1:8" ht="12.75" customHeight="1" x14ac:dyDescent="0.2">
      <c r="A361" s="2"/>
      <c r="E361" s="2"/>
      <c r="F361" s="2"/>
      <c r="G361" s="2"/>
      <c r="H361" s="2"/>
    </row>
    <row r="362" spans="1:8" ht="12.75" customHeight="1" x14ac:dyDescent="0.2">
      <c r="A362" s="2"/>
      <c r="E362" s="2"/>
      <c r="F362" s="2"/>
      <c r="G362" s="2"/>
      <c r="H362" s="2"/>
    </row>
    <row r="363" spans="1:8" ht="12.75" customHeight="1" x14ac:dyDescent="0.2">
      <c r="A363" s="2"/>
      <c r="E363" s="2"/>
      <c r="F363" s="2"/>
      <c r="G363" s="2"/>
      <c r="H363" s="2"/>
    </row>
    <row r="364" spans="1:8" ht="12.75" customHeight="1" x14ac:dyDescent="0.2">
      <c r="A364" s="2"/>
      <c r="E364" s="2"/>
      <c r="F364" s="2"/>
      <c r="G364" s="2"/>
      <c r="H364" s="2"/>
    </row>
    <row r="365" spans="1:8" ht="12.75" customHeight="1" x14ac:dyDescent="0.2">
      <c r="A365" s="2"/>
      <c r="E365" s="2"/>
      <c r="F365" s="2"/>
      <c r="G365" s="2"/>
      <c r="H365" s="2"/>
    </row>
    <row r="366" spans="1:8" ht="12.75" customHeight="1" x14ac:dyDescent="0.2">
      <c r="A366" s="2"/>
      <c r="E366" s="2"/>
      <c r="F366" s="2"/>
      <c r="G366" s="2"/>
      <c r="H366" s="2"/>
    </row>
    <row r="367" spans="1:8" ht="12.75" customHeight="1" x14ac:dyDescent="0.2">
      <c r="A367" s="2"/>
      <c r="E367" s="2"/>
      <c r="F367" s="2"/>
      <c r="G367" s="2"/>
      <c r="H367" s="2"/>
    </row>
    <row r="368" spans="1:8" ht="12.75" customHeight="1" x14ac:dyDescent="0.2">
      <c r="A368" s="2"/>
      <c r="E368" s="2"/>
      <c r="F368" s="2"/>
      <c r="G368" s="2"/>
      <c r="H368" s="2"/>
    </row>
    <row r="369" spans="1:8" ht="12.75" customHeight="1" x14ac:dyDescent="0.2">
      <c r="A369" s="2"/>
      <c r="E369" s="2"/>
      <c r="F369" s="2"/>
      <c r="G369" s="2"/>
      <c r="H369" s="2"/>
    </row>
    <row r="370" spans="1:8" ht="12.75" customHeight="1" x14ac:dyDescent="0.2">
      <c r="A370" s="2"/>
      <c r="E370" s="2"/>
      <c r="F370" s="2"/>
      <c r="G370" s="2"/>
      <c r="H370" s="2"/>
    </row>
    <row r="371" spans="1:8" ht="12.75" customHeight="1" x14ac:dyDescent="0.2">
      <c r="A371" s="2"/>
      <c r="E371" s="2"/>
      <c r="F371" s="2"/>
      <c r="G371" s="2"/>
      <c r="H371" s="2"/>
    </row>
    <row r="372" spans="1:8" ht="12.75" customHeight="1" x14ac:dyDescent="0.2">
      <c r="A372" s="2"/>
      <c r="E372" s="2"/>
      <c r="F372" s="2"/>
      <c r="G372" s="2"/>
      <c r="H372" s="2"/>
    </row>
    <row r="373" spans="1:8" ht="12.75" customHeight="1" x14ac:dyDescent="0.2">
      <c r="A373" s="2"/>
      <c r="E373" s="2"/>
      <c r="F373" s="2"/>
      <c r="G373" s="2"/>
      <c r="H373" s="2"/>
    </row>
    <row r="374" spans="1:8" ht="12.75" customHeight="1" x14ac:dyDescent="0.2">
      <c r="A374" s="2"/>
      <c r="E374" s="2"/>
      <c r="F374" s="2"/>
      <c r="G374" s="2"/>
      <c r="H374" s="2"/>
    </row>
    <row r="375" spans="1:8" ht="12.75" customHeight="1" x14ac:dyDescent="0.2">
      <c r="A375" s="2"/>
      <c r="E375" s="2"/>
      <c r="F375" s="2"/>
      <c r="G375" s="2"/>
      <c r="H375" s="2"/>
    </row>
    <row r="376" spans="1:8" ht="12.75" customHeight="1" x14ac:dyDescent="0.2">
      <c r="A376" s="2"/>
      <c r="E376" s="2"/>
      <c r="F376" s="2"/>
      <c r="G376" s="2"/>
      <c r="H376" s="2"/>
    </row>
    <row r="377" spans="1:8" ht="12.75" customHeight="1" x14ac:dyDescent="0.2">
      <c r="A377" s="2"/>
      <c r="E377" s="2"/>
      <c r="F377" s="2"/>
      <c r="G377" s="2"/>
      <c r="H377" s="2"/>
    </row>
    <row r="378" spans="1:8" ht="12.75" customHeight="1" x14ac:dyDescent="0.2">
      <c r="A378" s="2"/>
      <c r="E378" s="2"/>
      <c r="F378" s="2"/>
      <c r="G378" s="2"/>
      <c r="H378" s="2"/>
    </row>
    <row r="379" spans="1:8" ht="12.75" customHeight="1" x14ac:dyDescent="0.2">
      <c r="A379" s="2"/>
      <c r="E379" s="2"/>
      <c r="F379" s="2"/>
      <c r="G379" s="2"/>
      <c r="H379" s="2"/>
    </row>
    <row r="380" spans="1:8" ht="12.75" customHeight="1" x14ac:dyDescent="0.2">
      <c r="A380" s="2"/>
      <c r="E380" s="2"/>
      <c r="F380" s="2"/>
      <c r="G380" s="2"/>
      <c r="H380" s="2"/>
    </row>
    <row r="381" spans="1:8" ht="12.75" customHeight="1" x14ac:dyDescent="0.2">
      <c r="A381" s="2"/>
      <c r="E381" s="2"/>
      <c r="F381" s="2"/>
      <c r="G381" s="2"/>
      <c r="H381" s="2"/>
    </row>
    <row r="382" spans="1:8" ht="12.75" customHeight="1" x14ac:dyDescent="0.2">
      <c r="A382" s="2"/>
      <c r="E382" s="2"/>
      <c r="F382" s="2"/>
      <c r="G382" s="2"/>
      <c r="H382" s="2"/>
    </row>
    <row r="383" spans="1:8" ht="12.75" customHeight="1" x14ac:dyDescent="0.2">
      <c r="A383" s="2"/>
      <c r="E383" s="2"/>
      <c r="F383" s="2"/>
      <c r="G383" s="2"/>
      <c r="H383" s="2"/>
    </row>
    <row r="384" spans="1:8" ht="12.75" customHeight="1" x14ac:dyDescent="0.2">
      <c r="A384" s="2"/>
      <c r="E384" s="2"/>
      <c r="F384" s="2"/>
      <c r="G384" s="2"/>
      <c r="H384" s="2"/>
    </row>
    <row r="385" spans="1:8" ht="12.75" customHeight="1" x14ac:dyDescent="0.2">
      <c r="A385" s="2"/>
      <c r="E385" s="2"/>
      <c r="F385" s="2"/>
      <c r="G385" s="2"/>
      <c r="H385" s="2"/>
    </row>
    <row r="386" spans="1:8" ht="12.75" customHeight="1" x14ac:dyDescent="0.2">
      <c r="A386" s="2"/>
      <c r="E386" s="2"/>
      <c r="F386" s="2"/>
      <c r="G386" s="2"/>
      <c r="H386" s="2"/>
    </row>
    <row r="387" spans="1:8" ht="12.75" customHeight="1" x14ac:dyDescent="0.2">
      <c r="A387" s="2"/>
      <c r="E387" s="2"/>
      <c r="F387" s="2"/>
      <c r="G387" s="2"/>
      <c r="H387" s="2"/>
    </row>
    <row r="388" spans="1:8" ht="12.75" customHeight="1" x14ac:dyDescent="0.2">
      <c r="A388" s="2"/>
      <c r="E388" s="2"/>
      <c r="F388" s="2"/>
      <c r="G388" s="2"/>
      <c r="H388" s="2"/>
    </row>
    <row r="389" spans="1:8" ht="12.75" customHeight="1" x14ac:dyDescent="0.2">
      <c r="A389" s="2"/>
      <c r="E389" s="2"/>
      <c r="F389" s="2"/>
      <c r="G389" s="2"/>
      <c r="H389" s="2"/>
    </row>
    <row r="390" spans="1:8" ht="12.75" customHeight="1" x14ac:dyDescent="0.2">
      <c r="A390" s="2"/>
      <c r="E390" s="2"/>
      <c r="F390" s="2"/>
      <c r="G390" s="2"/>
      <c r="H390" s="2"/>
    </row>
    <row r="391" spans="1:8" ht="12.75" customHeight="1" x14ac:dyDescent="0.2">
      <c r="A391" s="2"/>
      <c r="E391" s="2"/>
      <c r="F391" s="2"/>
      <c r="G391" s="2"/>
      <c r="H391" s="2"/>
    </row>
    <row r="392" spans="1:8" ht="12.75" customHeight="1" x14ac:dyDescent="0.2">
      <c r="A392" s="2"/>
      <c r="E392" s="2"/>
      <c r="F392" s="2"/>
      <c r="G392" s="2"/>
      <c r="H392" s="2"/>
    </row>
    <row r="393" spans="1:8" ht="12.75" customHeight="1" x14ac:dyDescent="0.2">
      <c r="A393" s="2"/>
      <c r="E393" s="2"/>
      <c r="F393" s="2"/>
      <c r="G393" s="2"/>
      <c r="H393" s="2"/>
    </row>
    <row r="394" spans="1:8" ht="12.75" customHeight="1" x14ac:dyDescent="0.2">
      <c r="A394" s="2"/>
      <c r="E394" s="2"/>
      <c r="F394" s="2"/>
      <c r="G394" s="2"/>
      <c r="H394" s="2"/>
    </row>
    <row r="395" spans="1:8" ht="12.75" customHeight="1" x14ac:dyDescent="0.2">
      <c r="A395" s="2"/>
      <c r="E395" s="2"/>
      <c r="F395" s="2"/>
      <c r="G395" s="2"/>
      <c r="H395" s="2"/>
    </row>
    <row r="396" spans="1:8" ht="12.75" customHeight="1" x14ac:dyDescent="0.2">
      <c r="A396" s="2"/>
      <c r="E396" s="2"/>
      <c r="F396" s="2"/>
      <c r="G396" s="2"/>
      <c r="H396" s="2"/>
    </row>
    <row r="397" spans="1:8" ht="12.75" customHeight="1" x14ac:dyDescent="0.2">
      <c r="A397" s="2"/>
      <c r="E397" s="2"/>
      <c r="F397" s="2"/>
      <c r="G397" s="2"/>
      <c r="H397" s="2"/>
    </row>
    <row r="398" spans="1:8" ht="12.75" customHeight="1" x14ac:dyDescent="0.2">
      <c r="A398" s="2"/>
      <c r="E398" s="2"/>
      <c r="F398" s="2"/>
      <c r="G398" s="2"/>
      <c r="H398" s="2"/>
    </row>
    <row r="399" spans="1:8" ht="12.75" customHeight="1" x14ac:dyDescent="0.2">
      <c r="A399" s="2"/>
      <c r="E399" s="2"/>
      <c r="F399" s="2"/>
      <c r="G399" s="2"/>
      <c r="H399" s="2"/>
    </row>
    <row r="400" spans="1:8" ht="12.75" customHeight="1" x14ac:dyDescent="0.2">
      <c r="A400" s="2"/>
      <c r="E400" s="2"/>
      <c r="F400" s="2"/>
      <c r="G400" s="2"/>
      <c r="H400" s="2"/>
    </row>
    <row r="401" spans="1:8" ht="12.75" customHeight="1" x14ac:dyDescent="0.2">
      <c r="A401" s="2"/>
      <c r="E401" s="2"/>
      <c r="F401" s="2"/>
      <c r="G401" s="2"/>
      <c r="H401" s="2"/>
    </row>
    <row r="402" spans="1:8" ht="12.75" customHeight="1" x14ac:dyDescent="0.2">
      <c r="A402" s="2"/>
      <c r="E402" s="2"/>
      <c r="F402" s="2"/>
      <c r="G402" s="2"/>
      <c r="H402" s="2"/>
    </row>
    <row r="403" spans="1:8" ht="12.75" customHeight="1" x14ac:dyDescent="0.2">
      <c r="A403" s="2"/>
      <c r="E403" s="2"/>
      <c r="F403" s="2"/>
      <c r="G403" s="2"/>
      <c r="H403" s="2"/>
    </row>
    <row r="404" spans="1:8" ht="12.75" customHeight="1" x14ac:dyDescent="0.2">
      <c r="A404" s="2"/>
      <c r="E404" s="2"/>
      <c r="F404" s="2"/>
      <c r="G404" s="2"/>
      <c r="H404" s="2"/>
    </row>
    <row r="405" spans="1:8" ht="12.75" customHeight="1" x14ac:dyDescent="0.2">
      <c r="A405" s="2"/>
      <c r="E405" s="2"/>
      <c r="F405" s="2"/>
      <c r="G405" s="2"/>
      <c r="H405" s="2"/>
    </row>
    <row r="406" spans="1:8" ht="12.75" customHeight="1" x14ac:dyDescent="0.2">
      <c r="A406" s="2"/>
      <c r="E406" s="2"/>
      <c r="F406" s="2"/>
      <c r="G406" s="2"/>
      <c r="H406" s="2"/>
    </row>
    <row r="407" spans="1:8" ht="12.75" customHeight="1" x14ac:dyDescent="0.2">
      <c r="A407" s="2"/>
      <c r="E407" s="2"/>
      <c r="F407" s="2"/>
      <c r="G407" s="2"/>
      <c r="H407" s="2"/>
    </row>
    <row r="408" spans="1:8" ht="12.75" customHeight="1" x14ac:dyDescent="0.2">
      <c r="A408" s="2"/>
      <c r="E408" s="2"/>
      <c r="F408" s="2"/>
      <c r="G408" s="2"/>
      <c r="H408" s="2"/>
    </row>
    <row r="409" spans="1:8" ht="12.75" customHeight="1" x14ac:dyDescent="0.2">
      <c r="A409" s="2"/>
      <c r="E409" s="2"/>
      <c r="F409" s="2"/>
      <c r="G409" s="2"/>
      <c r="H409" s="2"/>
    </row>
    <row r="410" spans="1:8" ht="12.75" customHeight="1" x14ac:dyDescent="0.2">
      <c r="A410" s="2"/>
      <c r="E410" s="2"/>
      <c r="F410" s="2"/>
      <c r="G410" s="2"/>
      <c r="H410" s="2"/>
    </row>
    <row r="411" spans="1:8" ht="12.75" customHeight="1" x14ac:dyDescent="0.2">
      <c r="A411" s="2"/>
      <c r="E411" s="2"/>
      <c r="F411" s="2"/>
      <c r="G411" s="2"/>
      <c r="H411" s="2"/>
    </row>
    <row r="412" spans="1:8" ht="12.75" customHeight="1" x14ac:dyDescent="0.2">
      <c r="A412" s="2"/>
      <c r="E412" s="2"/>
      <c r="F412" s="2"/>
      <c r="G412" s="2"/>
      <c r="H412" s="2"/>
    </row>
    <row r="413" spans="1:8" ht="12.75" customHeight="1" x14ac:dyDescent="0.2">
      <c r="A413" s="2"/>
      <c r="E413" s="2"/>
      <c r="F413" s="2"/>
      <c r="G413" s="2"/>
      <c r="H413" s="2"/>
    </row>
    <row r="414" spans="1:8" ht="12.75" customHeight="1" x14ac:dyDescent="0.2">
      <c r="A414" s="2"/>
      <c r="E414" s="2"/>
      <c r="F414" s="2"/>
      <c r="G414" s="2"/>
      <c r="H414" s="2"/>
    </row>
    <row r="415" spans="1:8" ht="12.75" customHeight="1" x14ac:dyDescent="0.2">
      <c r="A415" s="2"/>
      <c r="E415" s="2"/>
      <c r="F415" s="2"/>
      <c r="G415" s="2"/>
      <c r="H415" s="2"/>
    </row>
    <row r="416" spans="1:8" ht="12.75" customHeight="1" x14ac:dyDescent="0.2">
      <c r="A416" s="2"/>
      <c r="E416" s="2"/>
      <c r="F416" s="2"/>
      <c r="G416" s="2"/>
      <c r="H416" s="2"/>
    </row>
    <row r="417" spans="1:8" ht="12.75" customHeight="1" x14ac:dyDescent="0.2">
      <c r="A417" s="2"/>
      <c r="E417" s="2"/>
      <c r="F417" s="2"/>
      <c r="G417" s="2"/>
      <c r="H417" s="2"/>
    </row>
    <row r="418" spans="1:8" ht="12.75" customHeight="1" x14ac:dyDescent="0.2">
      <c r="A418" s="2"/>
      <c r="E418" s="2"/>
      <c r="F418" s="2"/>
      <c r="G418" s="2"/>
      <c r="H418" s="2"/>
    </row>
    <row r="419" spans="1:8" ht="12.75" customHeight="1" x14ac:dyDescent="0.2">
      <c r="A419" s="2"/>
      <c r="E419" s="2"/>
      <c r="F419" s="2"/>
      <c r="G419" s="2"/>
      <c r="H419" s="2"/>
    </row>
    <row r="420" spans="1:8" ht="12.75" customHeight="1" x14ac:dyDescent="0.2">
      <c r="A420" s="2"/>
      <c r="E420" s="2"/>
      <c r="F420" s="2"/>
      <c r="G420" s="2"/>
      <c r="H420" s="2"/>
    </row>
    <row r="421" spans="1:8" ht="12.75" customHeight="1" x14ac:dyDescent="0.2">
      <c r="A421" s="2"/>
      <c r="E421" s="2"/>
      <c r="F421" s="2"/>
      <c r="G421" s="2"/>
      <c r="H421" s="2"/>
    </row>
    <row r="422" spans="1:8" ht="12.75" customHeight="1" x14ac:dyDescent="0.2">
      <c r="A422" s="2"/>
      <c r="E422" s="2"/>
      <c r="F422" s="2"/>
      <c r="G422" s="2"/>
      <c r="H422" s="2"/>
    </row>
    <row r="423" spans="1:8" ht="12.75" customHeight="1" x14ac:dyDescent="0.2">
      <c r="A423" s="2"/>
      <c r="E423" s="2"/>
      <c r="F423" s="2"/>
      <c r="G423" s="2"/>
      <c r="H423" s="2"/>
    </row>
    <row r="424" spans="1:8" ht="12.75" customHeight="1" x14ac:dyDescent="0.2">
      <c r="A424" s="2"/>
      <c r="E424" s="2"/>
      <c r="F424" s="2"/>
      <c r="G424" s="2"/>
      <c r="H424" s="2"/>
    </row>
    <row r="425" spans="1:8" ht="12.75" customHeight="1" x14ac:dyDescent="0.2">
      <c r="A425" s="2"/>
      <c r="E425" s="2"/>
      <c r="F425" s="2"/>
      <c r="G425" s="2"/>
      <c r="H425" s="2"/>
    </row>
    <row r="426" spans="1:8" ht="12.75" customHeight="1" x14ac:dyDescent="0.2">
      <c r="A426" s="2"/>
      <c r="E426" s="2"/>
      <c r="F426" s="2"/>
      <c r="G426" s="2"/>
      <c r="H426" s="2"/>
    </row>
    <row r="427" spans="1:8" ht="12.75" customHeight="1" x14ac:dyDescent="0.2">
      <c r="A427" s="2"/>
      <c r="E427" s="2"/>
      <c r="F427" s="2"/>
      <c r="G427" s="2"/>
      <c r="H427" s="2"/>
    </row>
    <row r="428" spans="1:8" ht="12.75" customHeight="1" x14ac:dyDescent="0.2">
      <c r="A428" s="2"/>
      <c r="E428" s="2"/>
      <c r="F428" s="2"/>
      <c r="G428" s="2"/>
      <c r="H428" s="2"/>
    </row>
    <row r="429" spans="1:8" ht="12.75" customHeight="1" x14ac:dyDescent="0.2">
      <c r="A429" s="2"/>
      <c r="E429" s="2"/>
      <c r="F429" s="2"/>
      <c r="G429" s="2"/>
      <c r="H429" s="2"/>
    </row>
    <row r="430" spans="1:8" ht="12.75" customHeight="1" x14ac:dyDescent="0.2">
      <c r="A430" s="2"/>
      <c r="E430" s="2"/>
      <c r="F430" s="2"/>
      <c r="G430" s="2"/>
      <c r="H430" s="2"/>
    </row>
    <row r="431" spans="1:8" ht="12.75" customHeight="1" x14ac:dyDescent="0.2">
      <c r="A431" s="2"/>
      <c r="E431" s="2"/>
      <c r="F431" s="2"/>
      <c r="G431" s="2"/>
      <c r="H431" s="2"/>
    </row>
    <row r="432" spans="1:8" ht="12.75" customHeight="1" x14ac:dyDescent="0.2">
      <c r="A432" s="2"/>
      <c r="E432" s="2"/>
      <c r="F432" s="2"/>
      <c r="G432" s="2"/>
      <c r="H432" s="2"/>
    </row>
    <row r="433" spans="1:8" ht="12.75" customHeight="1" x14ac:dyDescent="0.2">
      <c r="A433" s="2"/>
      <c r="E433" s="2"/>
      <c r="F433" s="2"/>
      <c r="G433" s="2"/>
      <c r="H433" s="2"/>
    </row>
    <row r="434" spans="1:8" ht="12.75" customHeight="1" x14ac:dyDescent="0.2">
      <c r="A434" s="2"/>
      <c r="E434" s="2"/>
      <c r="F434" s="2"/>
      <c r="G434" s="2"/>
      <c r="H434" s="2"/>
    </row>
    <row r="435" spans="1:8" ht="12.75" customHeight="1" x14ac:dyDescent="0.2">
      <c r="A435" s="2"/>
      <c r="E435" s="2"/>
      <c r="F435" s="2"/>
      <c r="G435" s="2"/>
      <c r="H435" s="2"/>
    </row>
    <row r="436" spans="1:8" ht="12.75" customHeight="1" x14ac:dyDescent="0.2">
      <c r="A436" s="2"/>
      <c r="E436" s="2"/>
      <c r="F436" s="2"/>
      <c r="G436" s="2"/>
      <c r="H436" s="2"/>
    </row>
    <row r="437" spans="1:8" ht="12.75" customHeight="1" x14ac:dyDescent="0.2">
      <c r="A437" s="2"/>
      <c r="E437" s="2"/>
      <c r="F437" s="2"/>
      <c r="G437" s="2"/>
      <c r="H437" s="2"/>
    </row>
    <row r="438" spans="1:8" ht="12.75" customHeight="1" x14ac:dyDescent="0.2">
      <c r="A438" s="2"/>
      <c r="E438" s="2"/>
      <c r="F438" s="2"/>
      <c r="G438" s="2"/>
      <c r="H438" s="2"/>
    </row>
    <row r="439" spans="1:8" ht="12.75" customHeight="1" x14ac:dyDescent="0.2">
      <c r="A439" s="2"/>
      <c r="E439" s="2"/>
      <c r="F439" s="2"/>
      <c r="G439" s="2"/>
      <c r="H439" s="2"/>
    </row>
    <row r="440" spans="1:8" ht="12.75" customHeight="1" x14ac:dyDescent="0.2">
      <c r="A440" s="2"/>
      <c r="E440" s="2"/>
      <c r="F440" s="2"/>
      <c r="G440" s="2"/>
      <c r="H440" s="2"/>
    </row>
    <row r="441" spans="1:8" ht="12.75" customHeight="1" x14ac:dyDescent="0.2">
      <c r="A441" s="2"/>
      <c r="E441" s="2"/>
      <c r="F441" s="2"/>
      <c r="G441" s="2"/>
      <c r="H441" s="2"/>
    </row>
    <row r="442" spans="1:8" ht="12.75" customHeight="1" x14ac:dyDescent="0.2">
      <c r="A442" s="2"/>
      <c r="E442" s="2"/>
      <c r="F442" s="2"/>
      <c r="G442" s="2"/>
      <c r="H442" s="2"/>
    </row>
    <row r="443" spans="1:8" ht="12.75" customHeight="1" x14ac:dyDescent="0.2">
      <c r="A443" s="2"/>
      <c r="E443" s="2"/>
      <c r="F443" s="2"/>
      <c r="G443" s="2"/>
      <c r="H443" s="2"/>
    </row>
    <row r="444" spans="1:8" ht="12.75" customHeight="1" x14ac:dyDescent="0.2">
      <c r="A444" s="2"/>
      <c r="E444" s="2"/>
      <c r="F444" s="2"/>
      <c r="G444" s="2"/>
      <c r="H444" s="2"/>
    </row>
    <row r="445" spans="1:8" ht="12.75" customHeight="1" x14ac:dyDescent="0.2">
      <c r="A445" s="2"/>
      <c r="E445" s="2"/>
      <c r="F445" s="2"/>
      <c r="G445" s="2"/>
      <c r="H445" s="2"/>
    </row>
    <row r="446" spans="1:8" ht="12.75" customHeight="1" x14ac:dyDescent="0.2">
      <c r="A446" s="2"/>
      <c r="E446" s="2"/>
      <c r="F446" s="2"/>
      <c r="G446" s="2"/>
      <c r="H446" s="2"/>
    </row>
    <row r="447" spans="1:8" ht="12.75" customHeight="1" x14ac:dyDescent="0.2">
      <c r="A447" s="2"/>
      <c r="E447" s="2"/>
      <c r="F447" s="2"/>
      <c r="G447" s="2"/>
      <c r="H447" s="2"/>
    </row>
    <row r="448" spans="1:8" ht="12.75" customHeight="1" x14ac:dyDescent="0.2">
      <c r="A448" s="2"/>
      <c r="E448" s="2"/>
      <c r="F448" s="2"/>
      <c r="G448" s="2"/>
      <c r="H448" s="2"/>
    </row>
    <row r="449" spans="1:8" ht="12.75" customHeight="1" x14ac:dyDescent="0.2">
      <c r="A449" s="2"/>
      <c r="E449" s="2"/>
      <c r="F449" s="2"/>
      <c r="G449" s="2"/>
      <c r="H449" s="2"/>
    </row>
    <row r="450" spans="1:8" ht="12.75" customHeight="1" x14ac:dyDescent="0.2">
      <c r="A450" s="2"/>
      <c r="E450" s="2"/>
      <c r="F450" s="2"/>
      <c r="G450" s="2"/>
      <c r="H450" s="2"/>
    </row>
    <row r="451" spans="1:8" ht="12.75" customHeight="1" x14ac:dyDescent="0.2">
      <c r="A451" s="2"/>
      <c r="E451" s="2"/>
      <c r="F451" s="2"/>
      <c r="G451" s="2"/>
      <c r="H451" s="2"/>
    </row>
    <row r="452" spans="1:8" ht="12.75" customHeight="1" x14ac:dyDescent="0.2">
      <c r="A452" s="2"/>
      <c r="E452" s="2"/>
      <c r="F452" s="2"/>
      <c r="G452" s="2"/>
      <c r="H452" s="2"/>
    </row>
    <row r="453" spans="1:8" ht="12.75" customHeight="1" x14ac:dyDescent="0.2">
      <c r="A453" s="2"/>
      <c r="E453" s="2"/>
      <c r="F453" s="2"/>
      <c r="G453" s="2"/>
      <c r="H453" s="2"/>
    </row>
    <row r="454" spans="1:8" ht="12.75" customHeight="1" x14ac:dyDescent="0.2">
      <c r="A454" s="2"/>
      <c r="E454" s="2"/>
      <c r="F454" s="2"/>
      <c r="G454" s="2"/>
      <c r="H454" s="2"/>
    </row>
    <row r="455" spans="1:8" ht="12.75" customHeight="1" x14ac:dyDescent="0.2">
      <c r="A455" s="2"/>
      <c r="E455" s="2"/>
      <c r="F455" s="2"/>
      <c r="G455" s="2"/>
      <c r="H455" s="2"/>
    </row>
    <row r="456" spans="1:8" ht="12.75" customHeight="1" x14ac:dyDescent="0.2">
      <c r="A456" s="2"/>
      <c r="E456" s="2"/>
      <c r="F456" s="2"/>
      <c r="G456" s="2"/>
      <c r="H456" s="2"/>
    </row>
    <row r="457" spans="1:8" ht="12.75" customHeight="1" x14ac:dyDescent="0.2">
      <c r="A457" s="2"/>
      <c r="E457" s="2"/>
      <c r="F457" s="2"/>
      <c r="G457" s="2"/>
      <c r="H457" s="2"/>
    </row>
    <row r="458" spans="1:8" ht="12.75" customHeight="1" x14ac:dyDescent="0.2">
      <c r="A458" s="2"/>
      <c r="E458" s="2"/>
      <c r="F458" s="2"/>
      <c r="G458" s="2"/>
      <c r="H458" s="2"/>
    </row>
    <row r="459" spans="1:8" ht="12.75" customHeight="1" x14ac:dyDescent="0.2">
      <c r="A459" s="2"/>
      <c r="E459" s="2"/>
      <c r="F459" s="2"/>
      <c r="G459" s="2"/>
      <c r="H459" s="2"/>
    </row>
    <row r="460" spans="1:8" ht="12.75" customHeight="1" x14ac:dyDescent="0.2">
      <c r="A460" s="2"/>
      <c r="E460" s="2"/>
      <c r="F460" s="2"/>
      <c r="G460" s="2"/>
      <c r="H460" s="2"/>
    </row>
    <row r="461" spans="1:8" ht="12.75" customHeight="1" x14ac:dyDescent="0.2">
      <c r="A461" s="2"/>
      <c r="E461" s="2"/>
      <c r="F461" s="2"/>
      <c r="G461" s="2"/>
      <c r="H461" s="2"/>
    </row>
    <row r="462" spans="1:8" ht="12.75" customHeight="1" x14ac:dyDescent="0.2">
      <c r="A462" s="2"/>
      <c r="E462" s="2"/>
      <c r="F462" s="2"/>
      <c r="G462" s="2"/>
      <c r="H462" s="2"/>
    </row>
    <row r="463" spans="1:8" ht="12.75" customHeight="1" x14ac:dyDescent="0.2">
      <c r="A463" s="2"/>
      <c r="E463" s="2"/>
      <c r="F463" s="2"/>
      <c r="G463" s="2"/>
      <c r="H463" s="2"/>
    </row>
    <row r="464" spans="1:8" ht="12.75" customHeight="1" x14ac:dyDescent="0.2">
      <c r="A464" s="2"/>
      <c r="E464" s="2"/>
      <c r="F464" s="2"/>
      <c r="G464" s="2"/>
      <c r="H464" s="2"/>
    </row>
    <row r="465" spans="1:8" ht="12.75" customHeight="1" x14ac:dyDescent="0.2">
      <c r="A465" s="2"/>
      <c r="E465" s="2"/>
      <c r="F465" s="2"/>
      <c r="G465" s="2"/>
      <c r="H465" s="2"/>
    </row>
    <row r="466" spans="1:8" ht="12.75" customHeight="1" x14ac:dyDescent="0.2">
      <c r="A466" s="2"/>
      <c r="E466" s="2"/>
      <c r="F466" s="2"/>
      <c r="G466" s="2"/>
      <c r="H466" s="2"/>
    </row>
    <row r="467" spans="1:8" ht="12.75" customHeight="1" x14ac:dyDescent="0.2">
      <c r="A467" s="2"/>
      <c r="E467" s="2"/>
      <c r="F467" s="2"/>
      <c r="G467" s="2"/>
      <c r="H467" s="2"/>
    </row>
    <row r="468" spans="1:8" ht="12.75" customHeight="1" x14ac:dyDescent="0.2">
      <c r="A468" s="2"/>
      <c r="E468" s="2"/>
      <c r="F468" s="2"/>
      <c r="G468" s="2"/>
      <c r="H468" s="2"/>
    </row>
    <row r="469" spans="1:8" ht="12.75" customHeight="1" x14ac:dyDescent="0.2">
      <c r="A469" s="2"/>
      <c r="E469" s="2"/>
      <c r="F469" s="2"/>
      <c r="G469" s="2"/>
      <c r="H469" s="2"/>
    </row>
    <row r="470" spans="1:8" ht="12.75" customHeight="1" x14ac:dyDescent="0.2">
      <c r="A470" s="2"/>
      <c r="E470" s="2"/>
      <c r="F470" s="2"/>
      <c r="G470" s="2"/>
      <c r="H470" s="2"/>
    </row>
    <row r="471" spans="1:8" ht="12.75" customHeight="1" x14ac:dyDescent="0.2">
      <c r="A471" s="2"/>
      <c r="E471" s="2"/>
      <c r="F471" s="2"/>
      <c r="G471" s="2"/>
      <c r="H471" s="2"/>
    </row>
    <row r="472" spans="1:8" ht="12.75" customHeight="1" x14ac:dyDescent="0.2">
      <c r="A472" s="2"/>
      <c r="E472" s="2"/>
      <c r="F472" s="2"/>
      <c r="G472" s="2"/>
      <c r="H472" s="2"/>
    </row>
    <row r="473" spans="1:8" ht="12.75" customHeight="1" x14ac:dyDescent="0.2">
      <c r="A473" s="2"/>
      <c r="E473" s="2"/>
      <c r="F473" s="2"/>
      <c r="G473" s="2"/>
      <c r="H473" s="2"/>
    </row>
    <row r="474" spans="1:8" ht="12.75" customHeight="1" x14ac:dyDescent="0.2">
      <c r="A474" s="2"/>
      <c r="E474" s="2"/>
      <c r="F474" s="2"/>
      <c r="G474" s="2"/>
      <c r="H474" s="2"/>
    </row>
    <row r="475" spans="1:8" ht="12.75" customHeight="1" x14ac:dyDescent="0.2">
      <c r="A475" s="2"/>
      <c r="E475" s="2"/>
      <c r="F475" s="2"/>
      <c r="G475" s="2"/>
      <c r="H475" s="2"/>
    </row>
    <row r="476" spans="1:8" ht="12.75" customHeight="1" x14ac:dyDescent="0.2">
      <c r="A476" s="2"/>
      <c r="E476" s="2"/>
      <c r="F476" s="2"/>
      <c r="G476" s="2"/>
      <c r="H476" s="2"/>
    </row>
    <row r="477" spans="1:8" ht="12.75" customHeight="1" x14ac:dyDescent="0.2">
      <c r="A477" s="2"/>
      <c r="E477" s="2"/>
      <c r="F477" s="2"/>
      <c r="G477" s="2"/>
      <c r="H477" s="2"/>
    </row>
    <row r="478" spans="1:8" ht="12.75" customHeight="1" x14ac:dyDescent="0.2">
      <c r="A478" s="2"/>
      <c r="E478" s="2"/>
      <c r="F478" s="2"/>
      <c r="G478" s="2"/>
      <c r="H478" s="2"/>
    </row>
    <row r="479" spans="1:8" ht="12.75" customHeight="1" x14ac:dyDescent="0.2">
      <c r="A479" s="2"/>
      <c r="E479" s="2"/>
      <c r="F479" s="2"/>
      <c r="G479" s="2"/>
      <c r="H479" s="2"/>
    </row>
    <row r="480" spans="1:8" ht="12.75" customHeight="1" x14ac:dyDescent="0.2">
      <c r="A480" s="2"/>
      <c r="E480" s="2"/>
      <c r="F480" s="2"/>
      <c r="G480" s="2"/>
      <c r="H480" s="2"/>
    </row>
    <row r="481" spans="1:8" ht="12.75" customHeight="1" x14ac:dyDescent="0.2">
      <c r="A481" s="2"/>
      <c r="E481" s="2"/>
      <c r="F481" s="2"/>
      <c r="G481" s="2"/>
      <c r="H481" s="2"/>
    </row>
    <row r="482" spans="1:8" ht="12.75" customHeight="1" x14ac:dyDescent="0.2">
      <c r="A482" s="2"/>
      <c r="E482" s="2"/>
      <c r="F482" s="2"/>
      <c r="G482" s="2"/>
      <c r="H482" s="2"/>
    </row>
    <row r="483" spans="1:8" ht="12.75" customHeight="1" x14ac:dyDescent="0.2">
      <c r="A483" s="2"/>
      <c r="E483" s="2"/>
      <c r="F483" s="2"/>
      <c r="G483" s="2"/>
      <c r="H483" s="2"/>
    </row>
    <row r="484" spans="1:8" ht="12.75" customHeight="1" x14ac:dyDescent="0.2">
      <c r="A484" s="2"/>
      <c r="E484" s="2"/>
      <c r="F484" s="2"/>
      <c r="G484" s="2"/>
      <c r="H484" s="2"/>
    </row>
    <row r="485" spans="1:8" ht="12.75" customHeight="1" x14ac:dyDescent="0.2">
      <c r="A485" s="2"/>
      <c r="E485" s="2"/>
      <c r="F485" s="2"/>
      <c r="G485" s="2"/>
      <c r="H485" s="2"/>
    </row>
    <row r="486" spans="1:8" ht="12.75" customHeight="1" x14ac:dyDescent="0.2">
      <c r="A486" s="2"/>
      <c r="E486" s="2"/>
      <c r="F486" s="2"/>
      <c r="G486" s="2"/>
      <c r="H486" s="2"/>
    </row>
    <row r="487" spans="1:8" ht="12.75" customHeight="1" x14ac:dyDescent="0.2">
      <c r="A487" s="2"/>
      <c r="E487" s="2"/>
      <c r="F487" s="2"/>
      <c r="G487" s="2"/>
      <c r="H487" s="2"/>
    </row>
    <row r="488" spans="1:8" ht="12.75" customHeight="1" x14ac:dyDescent="0.2">
      <c r="A488" s="2"/>
      <c r="E488" s="2"/>
      <c r="F488" s="2"/>
      <c r="G488" s="2"/>
      <c r="H488" s="2"/>
    </row>
    <row r="489" spans="1:8" ht="12.75" customHeight="1" x14ac:dyDescent="0.2">
      <c r="A489" s="2"/>
      <c r="E489" s="2"/>
      <c r="F489" s="2"/>
      <c r="G489" s="2"/>
      <c r="H489" s="2"/>
    </row>
    <row r="490" spans="1:8" ht="12.75" customHeight="1" x14ac:dyDescent="0.2">
      <c r="A490" s="2"/>
      <c r="E490" s="2"/>
      <c r="F490" s="2"/>
      <c r="G490" s="2"/>
      <c r="H490" s="2"/>
    </row>
    <row r="491" spans="1:8" ht="12.75" customHeight="1" x14ac:dyDescent="0.2">
      <c r="A491" s="2"/>
      <c r="E491" s="2"/>
      <c r="F491" s="2"/>
      <c r="G491" s="2"/>
      <c r="H491" s="2"/>
    </row>
    <row r="492" spans="1:8" ht="12.75" customHeight="1" x14ac:dyDescent="0.2">
      <c r="A492" s="2"/>
      <c r="E492" s="2"/>
      <c r="F492" s="2"/>
      <c r="G492" s="2"/>
      <c r="H492" s="2"/>
    </row>
    <row r="493" spans="1:8" ht="12.75" customHeight="1" x14ac:dyDescent="0.2">
      <c r="A493" s="2"/>
      <c r="E493" s="2"/>
      <c r="F493" s="2"/>
      <c r="G493" s="2"/>
      <c r="H493" s="2"/>
    </row>
    <row r="494" spans="1:8" ht="12.75" customHeight="1" x14ac:dyDescent="0.2">
      <c r="A494" s="2"/>
      <c r="E494" s="2"/>
      <c r="F494" s="2"/>
      <c r="G494" s="2"/>
      <c r="H494" s="2"/>
    </row>
    <row r="495" spans="1:8" ht="12.75" customHeight="1" x14ac:dyDescent="0.2">
      <c r="A495" s="2"/>
      <c r="E495" s="2"/>
      <c r="F495" s="2"/>
      <c r="G495" s="2"/>
      <c r="H495" s="2"/>
    </row>
    <row r="496" spans="1:8" ht="12.75" customHeight="1" x14ac:dyDescent="0.2">
      <c r="A496" s="2"/>
      <c r="E496" s="2"/>
      <c r="F496" s="2"/>
      <c r="G496" s="2"/>
      <c r="H496" s="2"/>
    </row>
    <row r="497" spans="1:8" ht="12.75" customHeight="1" x14ac:dyDescent="0.2">
      <c r="A497" s="2"/>
      <c r="E497" s="2"/>
      <c r="F497" s="2"/>
      <c r="G497" s="2"/>
      <c r="H497" s="2"/>
    </row>
    <row r="498" spans="1:8" ht="12.75" customHeight="1" x14ac:dyDescent="0.2">
      <c r="A498" s="2"/>
      <c r="E498" s="2"/>
      <c r="F498" s="2"/>
      <c r="G498" s="2"/>
      <c r="H498" s="2"/>
    </row>
    <row r="499" spans="1:8" ht="12.75" customHeight="1" x14ac:dyDescent="0.2">
      <c r="A499" s="2"/>
      <c r="E499" s="2"/>
      <c r="F499" s="2"/>
      <c r="G499" s="2"/>
      <c r="H499" s="2"/>
    </row>
    <row r="500" spans="1:8" ht="12.75" customHeight="1" x14ac:dyDescent="0.2">
      <c r="A500" s="2"/>
      <c r="E500" s="2"/>
      <c r="F500" s="2"/>
      <c r="G500" s="2"/>
      <c r="H500" s="2"/>
    </row>
    <row r="501" spans="1:8" ht="12.75" customHeight="1" x14ac:dyDescent="0.2">
      <c r="A501" s="2"/>
      <c r="E501" s="2"/>
      <c r="F501" s="2"/>
      <c r="G501" s="2"/>
      <c r="H501" s="2"/>
    </row>
    <row r="502" spans="1:8" ht="12.75" customHeight="1" x14ac:dyDescent="0.2">
      <c r="A502" s="2"/>
      <c r="E502" s="2"/>
      <c r="F502" s="2"/>
      <c r="G502" s="2"/>
      <c r="H502" s="2"/>
    </row>
    <row r="503" spans="1:8" ht="12.75" customHeight="1" x14ac:dyDescent="0.2">
      <c r="A503" s="2"/>
      <c r="E503" s="2"/>
      <c r="F503" s="2"/>
      <c r="G503" s="2"/>
      <c r="H503" s="2"/>
    </row>
    <row r="504" spans="1:8" ht="12.75" customHeight="1" x14ac:dyDescent="0.2">
      <c r="A504" s="2"/>
      <c r="E504" s="2"/>
      <c r="F504" s="2"/>
      <c r="G504" s="2"/>
      <c r="H504" s="2"/>
    </row>
    <row r="505" spans="1:8" ht="12.75" customHeight="1" x14ac:dyDescent="0.2">
      <c r="A505" s="2"/>
      <c r="E505" s="2"/>
      <c r="F505" s="2"/>
      <c r="G505" s="2"/>
      <c r="H505" s="2"/>
    </row>
    <row r="506" spans="1:8" ht="12.75" customHeight="1" x14ac:dyDescent="0.2">
      <c r="A506" s="2"/>
      <c r="E506" s="2"/>
      <c r="F506" s="2"/>
      <c r="G506" s="2"/>
      <c r="H506" s="2"/>
    </row>
    <row r="507" spans="1:8" ht="12.75" customHeight="1" x14ac:dyDescent="0.2">
      <c r="A507" s="2"/>
      <c r="E507" s="2"/>
      <c r="F507" s="2"/>
      <c r="G507" s="2"/>
      <c r="H507" s="2"/>
    </row>
    <row r="508" spans="1:8" ht="12.75" customHeight="1" x14ac:dyDescent="0.2">
      <c r="A508" s="2"/>
      <c r="E508" s="2"/>
      <c r="F508" s="2"/>
      <c r="G508" s="2"/>
      <c r="H508" s="2"/>
    </row>
    <row r="509" spans="1:8" ht="12.75" customHeight="1" x14ac:dyDescent="0.2">
      <c r="A509" s="2"/>
      <c r="E509" s="2"/>
      <c r="F509" s="2"/>
      <c r="G509" s="2"/>
      <c r="H509" s="2"/>
    </row>
    <row r="510" spans="1:8" ht="12.75" customHeight="1" x14ac:dyDescent="0.2">
      <c r="A510" s="2"/>
      <c r="E510" s="2"/>
      <c r="F510" s="2"/>
      <c r="G510" s="2"/>
      <c r="H510" s="2"/>
    </row>
    <row r="511" spans="1:8" ht="12.75" customHeight="1" x14ac:dyDescent="0.2">
      <c r="A511" s="2"/>
      <c r="E511" s="2"/>
      <c r="F511" s="2"/>
      <c r="G511" s="2"/>
      <c r="H511" s="2"/>
    </row>
    <row r="512" spans="1:8" ht="12.75" customHeight="1" x14ac:dyDescent="0.2">
      <c r="A512" s="2"/>
      <c r="E512" s="2"/>
      <c r="F512" s="2"/>
      <c r="G512" s="2"/>
      <c r="H512" s="2"/>
    </row>
    <row r="513" spans="1:8" ht="12.75" customHeight="1" x14ac:dyDescent="0.2">
      <c r="A513" s="2"/>
      <c r="E513" s="2"/>
      <c r="F513" s="2"/>
      <c r="G513" s="2"/>
      <c r="H513" s="2"/>
    </row>
    <row r="514" spans="1:8" ht="12.75" customHeight="1" x14ac:dyDescent="0.2">
      <c r="A514" s="2"/>
      <c r="E514" s="2"/>
      <c r="F514" s="2"/>
      <c r="G514" s="2"/>
      <c r="H514" s="2"/>
    </row>
    <row r="515" spans="1:8" ht="12.75" customHeight="1" x14ac:dyDescent="0.2">
      <c r="A515" s="2"/>
      <c r="E515" s="2"/>
      <c r="F515" s="2"/>
      <c r="G515" s="2"/>
      <c r="H515" s="2"/>
    </row>
    <row r="516" spans="1:8" ht="12.75" customHeight="1" x14ac:dyDescent="0.2">
      <c r="A516" s="2"/>
      <c r="E516" s="2"/>
      <c r="F516" s="2"/>
      <c r="G516" s="2"/>
      <c r="H516" s="2"/>
    </row>
    <row r="517" spans="1:8" ht="12.75" customHeight="1" x14ac:dyDescent="0.2">
      <c r="A517" s="2"/>
      <c r="E517" s="2"/>
      <c r="F517" s="2"/>
      <c r="G517" s="2"/>
      <c r="H517" s="2"/>
    </row>
    <row r="518" spans="1:8" ht="12.75" customHeight="1" x14ac:dyDescent="0.2">
      <c r="A518" s="2"/>
      <c r="E518" s="2"/>
      <c r="F518" s="2"/>
      <c r="G518" s="2"/>
      <c r="H518" s="2"/>
    </row>
    <row r="519" spans="1:8" ht="12.75" customHeight="1" x14ac:dyDescent="0.2">
      <c r="A519" s="2"/>
      <c r="E519" s="2"/>
      <c r="F519" s="2"/>
      <c r="G519" s="2"/>
      <c r="H519" s="2"/>
    </row>
    <row r="520" spans="1:8" ht="12.75" customHeight="1" x14ac:dyDescent="0.2">
      <c r="A520" s="2"/>
      <c r="E520" s="2"/>
      <c r="F520" s="2"/>
      <c r="G520" s="2"/>
      <c r="H520" s="2"/>
    </row>
    <row r="521" spans="1:8" ht="12.75" customHeight="1" x14ac:dyDescent="0.2">
      <c r="A521" s="2"/>
      <c r="E521" s="2"/>
      <c r="F521" s="2"/>
      <c r="G521" s="2"/>
      <c r="H521" s="2"/>
    </row>
    <row r="522" spans="1:8" ht="12.75" customHeight="1" x14ac:dyDescent="0.2">
      <c r="A522" s="2"/>
      <c r="E522" s="2"/>
      <c r="F522" s="2"/>
      <c r="G522" s="2"/>
      <c r="H522" s="2"/>
    </row>
    <row r="523" spans="1:8" ht="12.75" customHeight="1" x14ac:dyDescent="0.2">
      <c r="A523" s="2"/>
      <c r="E523" s="2"/>
      <c r="F523" s="2"/>
      <c r="G523" s="2"/>
      <c r="H523" s="2"/>
    </row>
    <row r="524" spans="1:8" ht="12.75" customHeight="1" x14ac:dyDescent="0.2">
      <c r="A524" s="2"/>
      <c r="E524" s="2"/>
      <c r="F524" s="2"/>
      <c r="G524" s="2"/>
      <c r="H524" s="2"/>
    </row>
    <row r="525" spans="1:8" ht="12.75" customHeight="1" x14ac:dyDescent="0.2">
      <c r="A525" s="2"/>
      <c r="E525" s="2"/>
      <c r="F525" s="2"/>
      <c r="G525" s="2"/>
      <c r="H525" s="2"/>
    </row>
    <row r="526" spans="1:8" ht="12.75" customHeight="1" x14ac:dyDescent="0.2">
      <c r="A526" s="2"/>
      <c r="E526" s="2"/>
      <c r="F526" s="2"/>
      <c r="G526" s="2"/>
      <c r="H526" s="2"/>
    </row>
    <row r="527" spans="1:8" ht="12.75" customHeight="1" x14ac:dyDescent="0.2">
      <c r="A527" s="2"/>
      <c r="E527" s="2"/>
      <c r="F527" s="2"/>
      <c r="G527" s="2"/>
      <c r="H527" s="2"/>
    </row>
    <row r="528" spans="1:8" ht="12.75" customHeight="1" x14ac:dyDescent="0.2">
      <c r="A528" s="2"/>
      <c r="E528" s="2"/>
      <c r="F528" s="2"/>
      <c r="G528" s="2"/>
      <c r="H528" s="2"/>
    </row>
    <row r="529" spans="1:8" ht="12.75" customHeight="1" x14ac:dyDescent="0.2">
      <c r="A529" s="2"/>
      <c r="E529" s="2"/>
      <c r="F529" s="2"/>
      <c r="G529" s="2"/>
      <c r="H529" s="2"/>
    </row>
    <row r="530" spans="1:8" ht="12.75" customHeight="1" x14ac:dyDescent="0.2">
      <c r="A530" s="2"/>
      <c r="E530" s="2"/>
      <c r="F530" s="2"/>
      <c r="G530" s="2"/>
      <c r="H530" s="2"/>
    </row>
    <row r="531" spans="1:8" ht="12.75" customHeight="1" x14ac:dyDescent="0.2">
      <c r="A531" s="2"/>
      <c r="E531" s="2"/>
      <c r="F531" s="2"/>
      <c r="G531" s="2"/>
      <c r="H531" s="2"/>
    </row>
    <row r="532" spans="1:8" ht="12.75" customHeight="1" x14ac:dyDescent="0.2">
      <c r="A532" s="2"/>
      <c r="E532" s="2"/>
      <c r="F532" s="2"/>
      <c r="G532" s="2"/>
      <c r="H532" s="2"/>
    </row>
    <row r="533" spans="1:8" ht="12.75" customHeight="1" x14ac:dyDescent="0.2">
      <c r="A533" s="2"/>
      <c r="E533" s="2"/>
      <c r="F533" s="2"/>
      <c r="G533" s="2"/>
      <c r="H533" s="2"/>
    </row>
    <row r="534" spans="1:8" ht="12.75" customHeight="1" x14ac:dyDescent="0.2">
      <c r="A534" s="2"/>
      <c r="E534" s="2"/>
      <c r="F534" s="2"/>
      <c r="G534" s="2"/>
      <c r="H534" s="2"/>
    </row>
    <row r="535" spans="1:8" ht="12.75" customHeight="1" x14ac:dyDescent="0.2">
      <c r="A535" s="2"/>
      <c r="E535" s="2"/>
      <c r="F535" s="2"/>
      <c r="G535" s="2"/>
      <c r="H535" s="2"/>
    </row>
    <row r="536" spans="1:8" ht="12.75" customHeight="1" x14ac:dyDescent="0.2">
      <c r="A536" s="2"/>
      <c r="E536" s="2"/>
      <c r="F536" s="2"/>
      <c r="G536" s="2"/>
      <c r="H536" s="2"/>
    </row>
    <row r="537" spans="1:8" ht="12.75" customHeight="1" x14ac:dyDescent="0.2">
      <c r="A537" s="2"/>
      <c r="E537" s="2"/>
      <c r="F537" s="2"/>
      <c r="G537" s="2"/>
      <c r="H537" s="2"/>
    </row>
    <row r="538" spans="1:8" ht="12.75" customHeight="1" x14ac:dyDescent="0.2">
      <c r="A538" s="2"/>
      <c r="E538" s="2"/>
      <c r="F538" s="2"/>
      <c r="G538" s="2"/>
      <c r="H538" s="2"/>
    </row>
    <row r="539" spans="1:8" ht="12.75" customHeight="1" x14ac:dyDescent="0.2">
      <c r="A539" s="2"/>
      <c r="E539" s="2"/>
      <c r="F539" s="2"/>
      <c r="G539" s="2"/>
      <c r="H539" s="2"/>
    </row>
    <row r="540" spans="1:8" ht="12.75" customHeight="1" x14ac:dyDescent="0.2">
      <c r="A540" s="2"/>
      <c r="E540" s="2"/>
      <c r="F540" s="2"/>
      <c r="G540" s="2"/>
      <c r="H540" s="2"/>
    </row>
    <row r="541" spans="1:8" ht="12.75" customHeight="1" x14ac:dyDescent="0.2">
      <c r="A541" s="2"/>
      <c r="E541" s="2"/>
      <c r="F541" s="2"/>
      <c r="G541" s="2"/>
      <c r="H541" s="2"/>
    </row>
    <row r="542" spans="1:8" ht="12.75" customHeight="1" x14ac:dyDescent="0.2">
      <c r="A542" s="2"/>
      <c r="E542" s="2"/>
      <c r="F542" s="2"/>
      <c r="G542" s="2"/>
      <c r="H542" s="2"/>
    </row>
    <row r="543" spans="1:8" ht="12.75" customHeight="1" x14ac:dyDescent="0.2">
      <c r="A543" s="2"/>
      <c r="E543" s="2"/>
      <c r="F543" s="2"/>
      <c r="G543" s="2"/>
      <c r="H543" s="2"/>
    </row>
    <row r="544" spans="1:8" ht="12.75" customHeight="1" x14ac:dyDescent="0.2">
      <c r="A544" s="2"/>
      <c r="E544" s="2"/>
      <c r="F544" s="2"/>
      <c r="G544" s="2"/>
      <c r="H544" s="2"/>
    </row>
    <row r="545" spans="1:8" ht="12.75" customHeight="1" x14ac:dyDescent="0.2">
      <c r="A545" s="2"/>
      <c r="E545" s="2"/>
      <c r="F545" s="2"/>
      <c r="G545" s="2"/>
      <c r="H545" s="2"/>
    </row>
    <row r="546" spans="1:8" ht="12.75" customHeight="1" x14ac:dyDescent="0.2">
      <c r="A546" s="2"/>
      <c r="E546" s="2"/>
      <c r="F546" s="2"/>
      <c r="G546" s="2"/>
      <c r="H546" s="2"/>
    </row>
    <row r="547" spans="1:8" ht="12.75" customHeight="1" x14ac:dyDescent="0.2">
      <c r="A547" s="2"/>
      <c r="E547" s="2"/>
      <c r="F547" s="2"/>
      <c r="G547" s="2"/>
      <c r="H547" s="2"/>
    </row>
    <row r="548" spans="1:8" ht="12.75" customHeight="1" x14ac:dyDescent="0.2">
      <c r="A548" s="2"/>
      <c r="E548" s="2"/>
      <c r="F548" s="2"/>
      <c r="G548" s="2"/>
      <c r="H548" s="2"/>
    </row>
    <row r="549" spans="1:8" ht="12.75" customHeight="1" x14ac:dyDescent="0.2">
      <c r="A549" s="2"/>
      <c r="E549" s="2"/>
      <c r="F549" s="2"/>
      <c r="G549" s="2"/>
      <c r="H549" s="2"/>
    </row>
    <row r="550" spans="1:8" ht="12.75" customHeight="1" x14ac:dyDescent="0.2">
      <c r="A550" s="2"/>
      <c r="E550" s="2"/>
      <c r="F550" s="2"/>
      <c r="G550" s="2"/>
      <c r="H550" s="2"/>
    </row>
    <row r="551" spans="1:8" ht="12.75" customHeight="1" x14ac:dyDescent="0.2">
      <c r="A551" s="2"/>
      <c r="E551" s="2"/>
      <c r="F551" s="2"/>
      <c r="G551" s="2"/>
      <c r="H551" s="2"/>
    </row>
    <row r="552" spans="1:8" ht="12.75" customHeight="1" x14ac:dyDescent="0.2">
      <c r="A552" s="2"/>
      <c r="E552" s="2"/>
      <c r="F552" s="2"/>
      <c r="G552" s="2"/>
      <c r="H552" s="2"/>
    </row>
    <row r="553" spans="1:8" ht="12.75" customHeight="1" x14ac:dyDescent="0.2">
      <c r="A553" s="2"/>
      <c r="E553" s="2"/>
      <c r="F553" s="2"/>
      <c r="G553" s="2"/>
      <c r="H553" s="2"/>
    </row>
    <row r="554" spans="1:8" ht="12.75" customHeight="1" x14ac:dyDescent="0.2">
      <c r="A554" s="2"/>
      <c r="E554" s="2"/>
      <c r="F554" s="2"/>
      <c r="G554" s="2"/>
      <c r="H554" s="2"/>
    </row>
    <row r="555" spans="1:8" ht="12.75" customHeight="1" x14ac:dyDescent="0.2">
      <c r="A555" s="2"/>
      <c r="E555" s="2"/>
      <c r="F555" s="2"/>
      <c r="G555" s="2"/>
      <c r="H555" s="2"/>
    </row>
    <row r="556" spans="1:8" ht="12.75" customHeight="1" x14ac:dyDescent="0.2">
      <c r="A556" s="2"/>
      <c r="E556" s="2"/>
      <c r="F556" s="2"/>
      <c r="G556" s="2"/>
      <c r="H556" s="2"/>
    </row>
    <row r="557" spans="1:8" ht="12.75" customHeight="1" x14ac:dyDescent="0.2">
      <c r="A557" s="2"/>
      <c r="E557" s="2"/>
      <c r="F557" s="2"/>
      <c r="G557" s="2"/>
      <c r="H557" s="2"/>
    </row>
    <row r="558" spans="1:8" ht="12.75" customHeight="1" x14ac:dyDescent="0.2">
      <c r="A558" s="2"/>
      <c r="E558" s="2"/>
      <c r="F558" s="2"/>
      <c r="G558" s="2"/>
      <c r="H558" s="2"/>
    </row>
    <row r="559" spans="1:8" ht="12.75" customHeight="1" x14ac:dyDescent="0.2">
      <c r="A559" s="2"/>
      <c r="E559" s="2"/>
      <c r="F559" s="2"/>
      <c r="G559" s="2"/>
      <c r="H559" s="2"/>
    </row>
    <row r="560" spans="1:8" ht="12.75" customHeight="1" x14ac:dyDescent="0.2">
      <c r="A560" s="2"/>
      <c r="E560" s="2"/>
      <c r="F560" s="2"/>
      <c r="G560" s="2"/>
      <c r="H560" s="2"/>
    </row>
    <row r="561" spans="1:8" ht="12.75" customHeight="1" x14ac:dyDescent="0.2">
      <c r="A561" s="2"/>
      <c r="E561" s="2"/>
      <c r="F561" s="2"/>
      <c r="G561" s="2"/>
      <c r="H561" s="2"/>
    </row>
    <row r="562" spans="1:8" ht="12.75" customHeight="1" x14ac:dyDescent="0.2">
      <c r="A562" s="2"/>
      <c r="E562" s="2"/>
      <c r="F562" s="2"/>
      <c r="G562" s="2"/>
      <c r="H562" s="2"/>
    </row>
    <row r="563" spans="1:8" ht="12.75" customHeight="1" x14ac:dyDescent="0.2">
      <c r="A563" s="2"/>
      <c r="E563" s="2"/>
      <c r="F563" s="2"/>
      <c r="G563" s="2"/>
      <c r="H563" s="2"/>
    </row>
    <row r="564" spans="1:8" ht="12.75" customHeight="1" x14ac:dyDescent="0.2">
      <c r="A564" s="2"/>
      <c r="E564" s="2"/>
      <c r="F564" s="2"/>
      <c r="G564" s="2"/>
      <c r="H564" s="2"/>
    </row>
    <row r="565" spans="1:8" ht="12.75" customHeight="1" x14ac:dyDescent="0.2">
      <c r="A565" s="2"/>
      <c r="E565" s="2"/>
      <c r="F565" s="2"/>
      <c r="G565" s="2"/>
      <c r="H565" s="2"/>
    </row>
    <row r="566" spans="1:8" ht="12.75" customHeight="1" x14ac:dyDescent="0.2">
      <c r="A566" s="2"/>
      <c r="E566" s="2"/>
      <c r="F566" s="2"/>
      <c r="G566" s="2"/>
      <c r="H566" s="2"/>
    </row>
    <row r="567" spans="1:8" ht="12.75" customHeight="1" x14ac:dyDescent="0.2">
      <c r="A567" s="2"/>
      <c r="E567" s="2"/>
      <c r="F567" s="2"/>
      <c r="G567" s="2"/>
      <c r="H567" s="2"/>
    </row>
    <row r="568" spans="1:8" ht="12.75" customHeight="1" x14ac:dyDescent="0.2">
      <c r="A568" s="2"/>
      <c r="E568" s="2"/>
      <c r="F568" s="2"/>
      <c r="G568" s="2"/>
      <c r="H568" s="2"/>
    </row>
    <row r="569" spans="1:8" ht="12.75" customHeight="1" x14ac:dyDescent="0.2">
      <c r="A569" s="2"/>
      <c r="E569" s="2"/>
      <c r="F569" s="2"/>
      <c r="G569" s="2"/>
      <c r="H569" s="2"/>
    </row>
    <row r="570" spans="1:8" ht="12.75" customHeight="1" x14ac:dyDescent="0.2">
      <c r="A570" s="2"/>
      <c r="E570" s="2"/>
      <c r="F570" s="2"/>
      <c r="G570" s="2"/>
      <c r="H570" s="2"/>
    </row>
    <row r="571" spans="1:8" ht="12.75" customHeight="1" x14ac:dyDescent="0.2">
      <c r="A571" s="2"/>
      <c r="E571" s="2"/>
      <c r="F571" s="2"/>
      <c r="G571" s="2"/>
      <c r="H571" s="2"/>
    </row>
    <row r="572" spans="1:8" ht="12.75" customHeight="1" x14ac:dyDescent="0.2">
      <c r="A572" s="2"/>
      <c r="E572" s="2"/>
      <c r="F572" s="2"/>
      <c r="G572" s="2"/>
      <c r="H572" s="2"/>
    </row>
    <row r="573" spans="1:8" ht="12.75" customHeight="1" x14ac:dyDescent="0.2">
      <c r="A573" s="2"/>
      <c r="E573" s="2"/>
      <c r="F573" s="2"/>
      <c r="G573" s="2"/>
      <c r="H573" s="2"/>
    </row>
    <row r="574" spans="1:8" ht="12.75" customHeight="1" x14ac:dyDescent="0.2">
      <c r="A574" s="2"/>
      <c r="E574" s="2"/>
      <c r="F574" s="2"/>
      <c r="G574" s="2"/>
      <c r="H574" s="2"/>
    </row>
    <row r="575" spans="1:8" ht="12.75" customHeight="1" x14ac:dyDescent="0.2">
      <c r="A575" s="2"/>
      <c r="E575" s="2"/>
      <c r="F575" s="2"/>
      <c r="G575" s="2"/>
      <c r="H575" s="2"/>
    </row>
    <row r="576" spans="1:8" ht="12.75" customHeight="1" x14ac:dyDescent="0.2">
      <c r="A576" s="2"/>
      <c r="E576" s="2"/>
      <c r="F576" s="2"/>
      <c r="G576" s="2"/>
      <c r="H576" s="2"/>
    </row>
    <row r="577" spans="1:8" ht="12.75" customHeight="1" x14ac:dyDescent="0.2">
      <c r="A577" s="2"/>
      <c r="E577" s="2"/>
      <c r="F577" s="2"/>
      <c r="G577" s="2"/>
      <c r="H577" s="2"/>
    </row>
    <row r="578" spans="1:8" ht="12.75" customHeight="1" x14ac:dyDescent="0.2">
      <c r="A578" s="2"/>
      <c r="E578" s="2"/>
      <c r="F578" s="2"/>
      <c r="G578" s="2"/>
      <c r="H578" s="2"/>
    </row>
    <row r="579" spans="1:8" ht="12.75" customHeight="1" x14ac:dyDescent="0.2">
      <c r="A579" s="2"/>
      <c r="E579" s="2"/>
      <c r="F579" s="2"/>
      <c r="G579" s="2"/>
      <c r="H579" s="2"/>
    </row>
    <row r="580" spans="1:8" ht="12.75" customHeight="1" x14ac:dyDescent="0.2">
      <c r="A580" s="2"/>
      <c r="E580" s="2"/>
      <c r="F580" s="2"/>
      <c r="G580" s="2"/>
      <c r="H580" s="2"/>
    </row>
    <row r="581" spans="1:8" ht="12.75" customHeight="1" x14ac:dyDescent="0.2">
      <c r="A581" s="2"/>
      <c r="E581" s="2"/>
      <c r="F581" s="2"/>
      <c r="G581" s="2"/>
      <c r="H581" s="2"/>
    </row>
    <row r="582" spans="1:8" ht="12.75" customHeight="1" x14ac:dyDescent="0.2">
      <c r="A582" s="2"/>
      <c r="E582" s="2"/>
      <c r="F582" s="2"/>
      <c r="G582" s="2"/>
      <c r="H582" s="2"/>
    </row>
    <row r="583" spans="1:8" ht="12.75" customHeight="1" x14ac:dyDescent="0.2">
      <c r="A583" s="2"/>
      <c r="E583" s="2"/>
      <c r="F583" s="2"/>
      <c r="G583" s="2"/>
      <c r="H583" s="2"/>
    </row>
    <row r="584" spans="1:8" ht="12.75" customHeight="1" x14ac:dyDescent="0.2">
      <c r="A584" s="2"/>
      <c r="E584" s="2"/>
      <c r="F584" s="2"/>
      <c r="G584" s="2"/>
      <c r="H584" s="2"/>
    </row>
    <row r="585" spans="1:8" ht="12.75" customHeight="1" x14ac:dyDescent="0.2">
      <c r="A585" s="2"/>
      <c r="E585" s="2"/>
      <c r="F585" s="2"/>
      <c r="G585" s="2"/>
      <c r="H585" s="2"/>
    </row>
    <row r="586" spans="1:8" ht="12.75" customHeight="1" x14ac:dyDescent="0.2">
      <c r="A586" s="2"/>
      <c r="E586" s="2"/>
      <c r="F586" s="2"/>
      <c r="G586" s="2"/>
      <c r="H586" s="2"/>
    </row>
    <row r="587" spans="1:8" ht="12.75" customHeight="1" x14ac:dyDescent="0.2">
      <c r="A587" s="2"/>
      <c r="E587" s="2"/>
      <c r="F587" s="2"/>
      <c r="G587" s="2"/>
      <c r="H587" s="2"/>
    </row>
    <row r="588" spans="1:8" ht="12.75" customHeight="1" x14ac:dyDescent="0.2">
      <c r="A588" s="2"/>
      <c r="E588" s="2"/>
      <c r="F588" s="2"/>
      <c r="G588" s="2"/>
      <c r="H588" s="2"/>
    </row>
    <row r="589" spans="1:8" ht="12.75" customHeight="1" x14ac:dyDescent="0.2">
      <c r="A589" s="2"/>
      <c r="E589" s="2"/>
      <c r="F589" s="2"/>
      <c r="G589" s="2"/>
      <c r="H589" s="2"/>
    </row>
    <row r="590" spans="1:8" ht="12.75" customHeight="1" x14ac:dyDescent="0.2">
      <c r="A590" s="2"/>
      <c r="E590" s="2"/>
      <c r="F590" s="2"/>
      <c r="G590" s="2"/>
      <c r="H590" s="2"/>
    </row>
    <row r="591" spans="1:8" ht="12.75" customHeight="1" x14ac:dyDescent="0.2">
      <c r="A591" s="2"/>
      <c r="E591" s="2"/>
      <c r="F591" s="2"/>
      <c r="G591" s="2"/>
      <c r="H591" s="2"/>
    </row>
    <row r="592" spans="1:8" ht="12.75" customHeight="1" x14ac:dyDescent="0.2">
      <c r="A592" s="2"/>
      <c r="E592" s="2"/>
      <c r="F592" s="2"/>
      <c r="G592" s="2"/>
      <c r="H592" s="2"/>
    </row>
    <row r="593" spans="1:8" ht="12.75" customHeight="1" x14ac:dyDescent="0.2">
      <c r="A593" s="2"/>
      <c r="E593" s="2"/>
      <c r="F593" s="2"/>
      <c r="G593" s="2"/>
      <c r="H593" s="2"/>
    </row>
    <row r="594" spans="1:8" ht="12.75" customHeight="1" x14ac:dyDescent="0.2">
      <c r="A594" s="2"/>
      <c r="E594" s="2"/>
      <c r="F594" s="2"/>
      <c r="G594" s="2"/>
      <c r="H594" s="2"/>
    </row>
    <row r="595" spans="1:8" ht="12.75" customHeight="1" x14ac:dyDescent="0.2">
      <c r="A595" s="2"/>
      <c r="E595" s="2"/>
      <c r="F595" s="2"/>
      <c r="G595" s="2"/>
      <c r="H595" s="2"/>
    </row>
    <row r="596" spans="1:8" ht="12.75" customHeight="1" x14ac:dyDescent="0.2">
      <c r="A596" s="2"/>
      <c r="E596" s="2"/>
      <c r="F596" s="2"/>
      <c r="G596" s="2"/>
      <c r="H596" s="2"/>
    </row>
    <row r="597" spans="1:8" ht="12.75" customHeight="1" x14ac:dyDescent="0.2">
      <c r="A597" s="2"/>
      <c r="E597" s="2"/>
      <c r="F597" s="2"/>
      <c r="G597" s="2"/>
      <c r="H597" s="2"/>
    </row>
    <row r="598" spans="1:8" ht="12.75" customHeight="1" x14ac:dyDescent="0.2">
      <c r="A598" s="2"/>
      <c r="E598" s="2"/>
      <c r="F598" s="2"/>
      <c r="G598" s="2"/>
      <c r="H598" s="2"/>
    </row>
    <row r="599" spans="1:8" ht="12.75" customHeight="1" x14ac:dyDescent="0.2">
      <c r="A599" s="2"/>
      <c r="E599" s="2"/>
      <c r="F599" s="2"/>
      <c r="G599" s="2"/>
      <c r="H599" s="2"/>
    </row>
    <row r="600" spans="1:8" ht="12.75" customHeight="1" x14ac:dyDescent="0.2">
      <c r="A600" s="2"/>
      <c r="E600" s="2"/>
      <c r="F600" s="2"/>
      <c r="G600" s="2"/>
      <c r="H600" s="2"/>
    </row>
    <row r="601" spans="1:8" ht="12.75" customHeight="1" x14ac:dyDescent="0.2">
      <c r="A601" s="2"/>
      <c r="E601" s="2"/>
      <c r="F601" s="2"/>
      <c r="G601" s="2"/>
      <c r="H601" s="2"/>
    </row>
    <row r="602" spans="1:8" ht="12.75" customHeight="1" x14ac:dyDescent="0.2">
      <c r="A602" s="2"/>
      <c r="E602" s="2"/>
      <c r="F602" s="2"/>
      <c r="G602" s="2"/>
      <c r="H602" s="2"/>
    </row>
    <row r="603" spans="1:8" ht="12.75" customHeight="1" x14ac:dyDescent="0.2">
      <c r="A603" s="2"/>
      <c r="E603" s="2"/>
      <c r="F603" s="2"/>
      <c r="G603" s="2"/>
      <c r="H603" s="2"/>
    </row>
    <row r="604" spans="1:8" ht="12.75" customHeight="1" x14ac:dyDescent="0.2">
      <c r="A604" s="2"/>
      <c r="E604" s="2"/>
      <c r="F604" s="2"/>
      <c r="G604" s="2"/>
      <c r="H604" s="2"/>
    </row>
    <row r="605" spans="1:8" ht="12.75" customHeight="1" x14ac:dyDescent="0.2">
      <c r="A605" s="2"/>
      <c r="E605" s="2"/>
      <c r="F605" s="2"/>
      <c r="G605" s="2"/>
      <c r="H605" s="2"/>
    </row>
    <row r="606" spans="1:8" ht="12.75" customHeight="1" x14ac:dyDescent="0.2">
      <c r="A606" s="2"/>
      <c r="E606" s="2"/>
      <c r="F606" s="2"/>
      <c r="G606" s="2"/>
      <c r="H606" s="2"/>
    </row>
    <row r="607" spans="1:8" ht="12.75" customHeight="1" x14ac:dyDescent="0.2">
      <c r="A607" s="2"/>
      <c r="E607" s="2"/>
      <c r="F607" s="2"/>
      <c r="G607" s="2"/>
      <c r="H607" s="2"/>
    </row>
    <row r="608" spans="1:8" ht="12.75" customHeight="1" x14ac:dyDescent="0.2">
      <c r="A608" s="2"/>
      <c r="E608" s="2"/>
      <c r="F608" s="2"/>
      <c r="G608" s="2"/>
      <c r="H608" s="2"/>
    </row>
    <row r="609" spans="1:8" ht="12.75" customHeight="1" x14ac:dyDescent="0.2">
      <c r="A609" s="2"/>
      <c r="E609" s="2"/>
      <c r="F609" s="2"/>
      <c r="G609" s="2"/>
      <c r="H609" s="2"/>
    </row>
    <row r="610" spans="1:8" ht="12.75" customHeight="1" x14ac:dyDescent="0.2">
      <c r="A610" s="2"/>
      <c r="E610" s="2"/>
      <c r="F610" s="2"/>
      <c r="G610" s="2"/>
      <c r="H610" s="2"/>
    </row>
    <row r="611" spans="1:8" ht="12.75" customHeight="1" x14ac:dyDescent="0.2">
      <c r="A611" s="2"/>
      <c r="E611" s="2"/>
      <c r="F611" s="2"/>
      <c r="G611" s="2"/>
      <c r="H611" s="2"/>
    </row>
    <row r="612" spans="1:8" ht="12.75" customHeight="1" x14ac:dyDescent="0.2">
      <c r="A612" s="2"/>
      <c r="E612" s="2"/>
      <c r="F612" s="2"/>
      <c r="G612" s="2"/>
      <c r="H612" s="2"/>
    </row>
    <row r="613" spans="1:8" ht="12.75" customHeight="1" x14ac:dyDescent="0.2">
      <c r="A613" s="2"/>
      <c r="E613" s="2"/>
      <c r="F613" s="2"/>
      <c r="G613" s="2"/>
      <c r="H613" s="2"/>
    </row>
    <row r="614" spans="1:8" ht="12.75" customHeight="1" x14ac:dyDescent="0.2">
      <c r="A614" s="2"/>
      <c r="E614" s="2"/>
      <c r="F614" s="2"/>
      <c r="G614" s="2"/>
      <c r="H614" s="2"/>
    </row>
    <row r="615" spans="1:8" ht="12.75" customHeight="1" x14ac:dyDescent="0.2">
      <c r="A615" s="2"/>
      <c r="E615" s="2"/>
      <c r="F615" s="2"/>
      <c r="G615" s="2"/>
      <c r="H615" s="2"/>
    </row>
    <row r="616" spans="1:8" ht="12.75" customHeight="1" x14ac:dyDescent="0.2">
      <c r="A616" s="2"/>
      <c r="E616" s="2"/>
      <c r="F616" s="2"/>
      <c r="G616" s="2"/>
      <c r="H616" s="2"/>
    </row>
    <row r="617" spans="1:8" ht="12.75" customHeight="1" x14ac:dyDescent="0.2">
      <c r="A617" s="2"/>
      <c r="E617" s="2"/>
      <c r="F617" s="2"/>
      <c r="G617" s="2"/>
      <c r="H617" s="2"/>
    </row>
    <row r="618" spans="1:8" ht="12.75" customHeight="1" x14ac:dyDescent="0.2">
      <c r="A618" s="2"/>
      <c r="E618" s="2"/>
      <c r="F618" s="2"/>
      <c r="G618" s="2"/>
      <c r="H618" s="2"/>
    </row>
    <row r="619" spans="1:8" ht="12.75" customHeight="1" x14ac:dyDescent="0.2">
      <c r="A619" s="2"/>
      <c r="E619" s="2"/>
      <c r="F619" s="2"/>
      <c r="G619" s="2"/>
      <c r="H619" s="2"/>
    </row>
    <row r="620" spans="1:8" ht="12.75" customHeight="1" x14ac:dyDescent="0.2">
      <c r="A620" s="2"/>
      <c r="E620" s="2"/>
      <c r="F620" s="2"/>
      <c r="G620" s="2"/>
      <c r="H620" s="2"/>
    </row>
    <row r="621" spans="1:8" ht="12.75" customHeight="1" x14ac:dyDescent="0.2">
      <c r="A621" s="2"/>
      <c r="E621" s="2"/>
      <c r="F621" s="2"/>
      <c r="G621" s="2"/>
      <c r="H621" s="2"/>
    </row>
    <row r="622" spans="1:8" ht="12.75" customHeight="1" x14ac:dyDescent="0.2">
      <c r="A622" s="2"/>
      <c r="E622" s="2"/>
      <c r="F622" s="2"/>
      <c r="G622" s="2"/>
      <c r="H622" s="2"/>
    </row>
    <row r="623" spans="1:8" ht="12.75" customHeight="1" x14ac:dyDescent="0.2">
      <c r="A623" s="2"/>
      <c r="E623" s="2"/>
      <c r="F623" s="2"/>
      <c r="G623" s="2"/>
      <c r="H623" s="2"/>
    </row>
    <row r="624" spans="1:8" ht="12.75" customHeight="1" x14ac:dyDescent="0.2">
      <c r="A624" s="2"/>
      <c r="E624" s="2"/>
      <c r="F624" s="2"/>
      <c r="G624" s="2"/>
      <c r="H624" s="2"/>
    </row>
    <row r="625" spans="1:8" ht="12.75" customHeight="1" x14ac:dyDescent="0.2">
      <c r="A625" s="2"/>
      <c r="E625" s="2"/>
      <c r="F625" s="2"/>
      <c r="G625" s="2"/>
      <c r="H625" s="2"/>
    </row>
    <row r="626" spans="1:8" ht="12.75" customHeight="1" x14ac:dyDescent="0.2">
      <c r="A626" s="2"/>
      <c r="E626" s="2"/>
      <c r="F626" s="2"/>
      <c r="G626" s="2"/>
      <c r="H626" s="2"/>
    </row>
    <row r="627" spans="1:8" ht="12.75" customHeight="1" x14ac:dyDescent="0.2">
      <c r="A627" s="2"/>
      <c r="E627" s="2"/>
      <c r="F627" s="2"/>
      <c r="G627" s="2"/>
      <c r="H627" s="2"/>
    </row>
    <row r="628" spans="1:8" ht="12.75" customHeight="1" x14ac:dyDescent="0.2">
      <c r="A628" s="2"/>
      <c r="E628" s="2"/>
      <c r="F628" s="2"/>
      <c r="G628" s="2"/>
      <c r="H628" s="2"/>
    </row>
    <row r="629" spans="1:8" ht="12.75" customHeight="1" x14ac:dyDescent="0.2">
      <c r="A629" s="2"/>
      <c r="E629" s="2"/>
      <c r="F629" s="2"/>
      <c r="G629" s="2"/>
      <c r="H629" s="2"/>
    </row>
    <row r="630" spans="1:8" ht="12.75" customHeight="1" x14ac:dyDescent="0.2">
      <c r="A630" s="2"/>
      <c r="E630" s="2"/>
      <c r="F630" s="2"/>
      <c r="G630" s="2"/>
      <c r="H630" s="2"/>
    </row>
    <row r="631" spans="1:8" ht="12.75" customHeight="1" x14ac:dyDescent="0.2">
      <c r="A631" s="2"/>
      <c r="E631" s="2"/>
      <c r="F631" s="2"/>
      <c r="G631" s="2"/>
      <c r="H631" s="2"/>
    </row>
    <row r="632" spans="1:8" ht="12.75" customHeight="1" x14ac:dyDescent="0.2">
      <c r="A632" s="2"/>
      <c r="E632" s="2"/>
      <c r="F632" s="2"/>
      <c r="G632" s="2"/>
      <c r="H632" s="2"/>
    </row>
    <row r="633" spans="1:8" ht="12.75" customHeight="1" x14ac:dyDescent="0.2">
      <c r="A633" s="2"/>
      <c r="E633" s="2"/>
      <c r="F633" s="2"/>
      <c r="G633" s="2"/>
      <c r="H633" s="2"/>
    </row>
    <row r="634" spans="1:8" ht="12.75" customHeight="1" x14ac:dyDescent="0.2">
      <c r="A634" s="2"/>
      <c r="E634" s="2"/>
      <c r="F634" s="2"/>
      <c r="G634" s="2"/>
      <c r="H634" s="2"/>
    </row>
    <row r="635" spans="1:8" ht="12.75" customHeight="1" x14ac:dyDescent="0.2">
      <c r="A635" s="2"/>
      <c r="E635" s="2"/>
      <c r="F635" s="2"/>
      <c r="G635" s="2"/>
      <c r="H635" s="2"/>
    </row>
    <row r="636" spans="1:8" ht="12.75" customHeight="1" x14ac:dyDescent="0.2">
      <c r="A636" s="2"/>
      <c r="E636" s="2"/>
      <c r="F636" s="2"/>
      <c r="G636" s="2"/>
      <c r="H636" s="2"/>
    </row>
    <row r="637" spans="1:8" ht="12.75" customHeight="1" x14ac:dyDescent="0.2">
      <c r="A637" s="2"/>
      <c r="E637" s="2"/>
      <c r="F637" s="2"/>
      <c r="G637" s="2"/>
      <c r="H637" s="2"/>
    </row>
    <row r="638" spans="1:8" ht="12.75" customHeight="1" x14ac:dyDescent="0.2">
      <c r="A638" s="2"/>
      <c r="E638" s="2"/>
      <c r="F638" s="2"/>
      <c r="G638" s="2"/>
      <c r="H638" s="2"/>
    </row>
    <row r="639" spans="1:8" ht="12.75" customHeight="1" x14ac:dyDescent="0.2">
      <c r="A639" s="2"/>
      <c r="E639" s="2"/>
      <c r="F639" s="2"/>
      <c r="G639" s="2"/>
      <c r="H639" s="2"/>
    </row>
    <row r="640" spans="1:8" ht="12.75" customHeight="1" x14ac:dyDescent="0.2">
      <c r="A640" s="2"/>
      <c r="E640" s="2"/>
      <c r="F640" s="2"/>
      <c r="G640" s="2"/>
      <c r="H640" s="2"/>
    </row>
    <row r="641" spans="1:8" ht="12.75" customHeight="1" x14ac:dyDescent="0.2">
      <c r="A641" s="2"/>
      <c r="E641" s="2"/>
      <c r="F641" s="2"/>
      <c r="G641" s="2"/>
      <c r="H641" s="2"/>
    </row>
    <row r="642" spans="1:8" ht="12.75" customHeight="1" x14ac:dyDescent="0.2">
      <c r="A642" s="2"/>
      <c r="E642" s="2"/>
      <c r="F642" s="2"/>
      <c r="G642" s="2"/>
      <c r="H642" s="2"/>
    </row>
    <row r="643" spans="1:8" ht="12.75" customHeight="1" x14ac:dyDescent="0.2">
      <c r="A643" s="2"/>
      <c r="E643" s="2"/>
      <c r="F643" s="2"/>
      <c r="G643" s="2"/>
      <c r="H643" s="2"/>
    </row>
    <row r="644" spans="1:8" ht="12.75" customHeight="1" x14ac:dyDescent="0.2">
      <c r="A644" s="2"/>
      <c r="E644" s="2"/>
      <c r="F644" s="2"/>
      <c r="G644" s="2"/>
      <c r="H644" s="2"/>
    </row>
    <row r="645" spans="1:8" ht="12.75" customHeight="1" x14ac:dyDescent="0.2">
      <c r="A645" s="2"/>
      <c r="E645" s="2"/>
      <c r="F645" s="2"/>
      <c r="G645" s="2"/>
      <c r="H645" s="2"/>
    </row>
    <row r="646" spans="1:8" ht="12.75" customHeight="1" x14ac:dyDescent="0.2">
      <c r="A646" s="2"/>
      <c r="E646" s="2"/>
      <c r="F646" s="2"/>
      <c r="G646" s="2"/>
      <c r="H646" s="2"/>
    </row>
    <row r="647" spans="1:8" ht="12.75" customHeight="1" x14ac:dyDescent="0.2">
      <c r="A647" s="2"/>
      <c r="E647" s="2"/>
      <c r="F647" s="2"/>
      <c r="G647" s="2"/>
      <c r="H647" s="2"/>
    </row>
    <row r="648" spans="1:8" ht="12.75" customHeight="1" x14ac:dyDescent="0.2">
      <c r="A648" s="2"/>
      <c r="E648" s="2"/>
      <c r="F648" s="2"/>
      <c r="G648" s="2"/>
      <c r="H648" s="2"/>
    </row>
    <row r="649" spans="1:8" ht="12.75" customHeight="1" x14ac:dyDescent="0.2">
      <c r="A649" s="2"/>
      <c r="E649" s="2"/>
      <c r="F649" s="2"/>
      <c r="G649" s="2"/>
      <c r="H649" s="2"/>
    </row>
    <row r="650" spans="1:8" ht="12.75" customHeight="1" x14ac:dyDescent="0.2">
      <c r="A650" s="2"/>
      <c r="E650" s="2"/>
      <c r="F650" s="2"/>
      <c r="G650" s="2"/>
      <c r="H650" s="2"/>
    </row>
    <row r="651" spans="1:8" ht="12.75" customHeight="1" x14ac:dyDescent="0.2">
      <c r="A651" s="2"/>
      <c r="E651" s="2"/>
      <c r="F651" s="2"/>
      <c r="G651" s="2"/>
      <c r="H651" s="2"/>
    </row>
    <row r="652" spans="1:8" ht="12.75" customHeight="1" x14ac:dyDescent="0.2">
      <c r="A652" s="2"/>
      <c r="E652" s="2"/>
      <c r="F652" s="2"/>
      <c r="G652" s="2"/>
      <c r="H652" s="2"/>
    </row>
    <row r="653" spans="1:8" ht="12.75" customHeight="1" x14ac:dyDescent="0.2">
      <c r="A653" s="2"/>
      <c r="E653" s="2"/>
      <c r="F653" s="2"/>
      <c r="G653" s="2"/>
      <c r="H653" s="2"/>
    </row>
    <row r="654" spans="1:8" ht="12.75" customHeight="1" x14ac:dyDescent="0.2">
      <c r="A654" s="2"/>
      <c r="E654" s="2"/>
      <c r="F654" s="2"/>
      <c r="G654" s="2"/>
      <c r="H654" s="2"/>
    </row>
    <row r="655" spans="1:8" ht="12.75" customHeight="1" x14ac:dyDescent="0.2">
      <c r="A655" s="2"/>
      <c r="E655" s="2"/>
      <c r="F655" s="2"/>
      <c r="G655" s="2"/>
      <c r="H655" s="2"/>
    </row>
    <row r="656" spans="1:8" ht="12.75" customHeight="1" x14ac:dyDescent="0.2">
      <c r="A656" s="2"/>
      <c r="E656" s="2"/>
      <c r="F656" s="2"/>
      <c r="G656" s="2"/>
      <c r="H656" s="2"/>
    </row>
    <row r="657" spans="1:8" ht="12.75" customHeight="1" x14ac:dyDescent="0.2">
      <c r="A657" s="2"/>
      <c r="E657" s="2"/>
      <c r="F657" s="2"/>
      <c r="G657" s="2"/>
      <c r="H657" s="2"/>
    </row>
    <row r="658" spans="1:8" ht="12.75" customHeight="1" x14ac:dyDescent="0.2">
      <c r="A658" s="2"/>
      <c r="E658" s="2"/>
      <c r="F658" s="2"/>
      <c r="G658" s="2"/>
      <c r="H658" s="2"/>
    </row>
    <row r="659" spans="1:8" ht="12.75" customHeight="1" x14ac:dyDescent="0.2">
      <c r="A659" s="2"/>
      <c r="E659" s="2"/>
      <c r="F659" s="2"/>
      <c r="G659" s="2"/>
      <c r="H659" s="2"/>
    </row>
    <row r="660" spans="1:8" ht="12.75" customHeight="1" x14ac:dyDescent="0.2">
      <c r="A660" s="2"/>
      <c r="E660" s="2"/>
      <c r="F660" s="2"/>
      <c r="G660" s="2"/>
      <c r="H660" s="2"/>
    </row>
    <row r="661" spans="1:8" ht="12.75" customHeight="1" x14ac:dyDescent="0.2">
      <c r="A661" s="2"/>
      <c r="E661" s="2"/>
      <c r="F661" s="2"/>
      <c r="G661" s="2"/>
      <c r="H661" s="2"/>
    </row>
    <row r="662" spans="1:8" ht="12.75" customHeight="1" x14ac:dyDescent="0.2">
      <c r="A662" s="2"/>
      <c r="E662" s="2"/>
      <c r="F662" s="2"/>
      <c r="G662" s="2"/>
      <c r="H662" s="2"/>
    </row>
    <row r="663" spans="1:8" ht="12.75" customHeight="1" x14ac:dyDescent="0.2">
      <c r="A663" s="2"/>
      <c r="E663" s="2"/>
      <c r="F663" s="2"/>
      <c r="G663" s="2"/>
      <c r="H663" s="2"/>
    </row>
    <row r="664" spans="1:8" ht="12.75" customHeight="1" x14ac:dyDescent="0.2">
      <c r="A664" s="2"/>
      <c r="E664" s="2"/>
      <c r="F664" s="2"/>
      <c r="G664" s="2"/>
      <c r="H664" s="2"/>
    </row>
    <row r="665" spans="1:8" ht="12.75" customHeight="1" x14ac:dyDescent="0.2">
      <c r="A665" s="2"/>
      <c r="E665" s="2"/>
      <c r="F665" s="2"/>
      <c r="G665" s="2"/>
      <c r="H665" s="2"/>
    </row>
    <row r="666" spans="1:8" ht="12.75" customHeight="1" x14ac:dyDescent="0.2">
      <c r="A666" s="2"/>
      <c r="E666" s="2"/>
      <c r="F666" s="2"/>
      <c r="G666" s="2"/>
      <c r="H666" s="2"/>
    </row>
    <row r="667" spans="1:8" ht="12.75" customHeight="1" x14ac:dyDescent="0.2">
      <c r="A667" s="2"/>
      <c r="E667" s="2"/>
      <c r="F667" s="2"/>
      <c r="G667" s="2"/>
      <c r="H667" s="2"/>
    </row>
    <row r="668" spans="1:8" ht="12.75" customHeight="1" x14ac:dyDescent="0.2">
      <c r="A668" s="2"/>
      <c r="E668" s="2"/>
      <c r="F668" s="2"/>
      <c r="G668" s="2"/>
      <c r="H668" s="2"/>
    </row>
    <row r="669" spans="1:8" ht="12.75" customHeight="1" x14ac:dyDescent="0.2">
      <c r="A669" s="2"/>
      <c r="E669" s="2"/>
      <c r="F669" s="2"/>
      <c r="G669" s="2"/>
      <c r="H669" s="2"/>
    </row>
    <row r="670" spans="1:8" ht="12.75" customHeight="1" x14ac:dyDescent="0.2">
      <c r="A670" s="2"/>
      <c r="E670" s="2"/>
      <c r="F670" s="2"/>
      <c r="G670" s="2"/>
      <c r="H670" s="2"/>
    </row>
    <row r="671" spans="1:8" ht="12.75" customHeight="1" x14ac:dyDescent="0.2">
      <c r="A671" s="2"/>
      <c r="E671" s="2"/>
      <c r="F671" s="2"/>
      <c r="G671" s="2"/>
      <c r="H671" s="2"/>
    </row>
    <row r="672" spans="1:8" ht="12.75" customHeight="1" x14ac:dyDescent="0.2">
      <c r="A672" s="2"/>
      <c r="E672" s="2"/>
      <c r="F672" s="2"/>
      <c r="G672" s="2"/>
      <c r="H672" s="2"/>
    </row>
    <row r="673" spans="1:8" ht="12.75" customHeight="1" x14ac:dyDescent="0.2">
      <c r="A673" s="2"/>
      <c r="E673" s="2"/>
      <c r="F673" s="2"/>
      <c r="G673" s="2"/>
      <c r="H673" s="2"/>
    </row>
    <row r="674" spans="1:8" ht="12.75" customHeight="1" x14ac:dyDescent="0.2">
      <c r="A674" s="2"/>
      <c r="E674" s="2"/>
      <c r="F674" s="2"/>
      <c r="G674" s="2"/>
      <c r="H674" s="2"/>
    </row>
    <row r="675" spans="1:8" ht="12.75" customHeight="1" x14ac:dyDescent="0.2">
      <c r="A675" s="2"/>
      <c r="E675" s="2"/>
      <c r="F675" s="2"/>
      <c r="G675" s="2"/>
      <c r="H675" s="2"/>
    </row>
    <row r="676" spans="1:8" ht="12.75" customHeight="1" x14ac:dyDescent="0.2">
      <c r="A676" s="2"/>
      <c r="E676" s="2"/>
      <c r="F676" s="2"/>
      <c r="G676" s="2"/>
      <c r="H676" s="2"/>
    </row>
    <row r="677" spans="1:8" ht="12.75" customHeight="1" x14ac:dyDescent="0.2">
      <c r="A677" s="2"/>
      <c r="E677" s="2"/>
      <c r="F677" s="2"/>
      <c r="G677" s="2"/>
      <c r="H677" s="2"/>
    </row>
    <row r="678" spans="1:8" ht="12.75" customHeight="1" x14ac:dyDescent="0.2">
      <c r="A678" s="2"/>
      <c r="E678" s="2"/>
      <c r="F678" s="2"/>
      <c r="G678" s="2"/>
      <c r="H678" s="2"/>
    </row>
    <row r="679" spans="1:8" ht="12.75" customHeight="1" x14ac:dyDescent="0.2">
      <c r="A679" s="2"/>
      <c r="E679" s="2"/>
      <c r="F679" s="2"/>
      <c r="G679" s="2"/>
      <c r="H679" s="2"/>
    </row>
    <row r="680" spans="1:8" ht="12.75" customHeight="1" x14ac:dyDescent="0.2">
      <c r="A680" s="2"/>
      <c r="E680" s="2"/>
      <c r="F680" s="2"/>
      <c r="G680" s="2"/>
      <c r="H680" s="2"/>
    </row>
    <row r="681" spans="1:8" ht="12.75" customHeight="1" x14ac:dyDescent="0.2">
      <c r="A681" s="2"/>
      <c r="E681" s="2"/>
      <c r="F681" s="2"/>
      <c r="G681" s="2"/>
      <c r="H681" s="2"/>
    </row>
    <row r="682" spans="1:8" ht="12.75" customHeight="1" x14ac:dyDescent="0.2">
      <c r="A682" s="2"/>
      <c r="E682" s="2"/>
      <c r="F682" s="2"/>
      <c r="G682" s="2"/>
      <c r="H682" s="2"/>
    </row>
    <row r="683" spans="1:8" ht="12.75" customHeight="1" x14ac:dyDescent="0.2">
      <c r="A683" s="2"/>
      <c r="E683" s="2"/>
      <c r="F683" s="2"/>
      <c r="G683" s="2"/>
      <c r="H683" s="2"/>
    </row>
    <row r="684" spans="1:8" ht="12.75" customHeight="1" x14ac:dyDescent="0.2">
      <c r="A684" s="2"/>
      <c r="E684" s="2"/>
      <c r="F684" s="2"/>
      <c r="G684" s="2"/>
      <c r="H684" s="2"/>
    </row>
    <row r="685" spans="1:8" ht="12.75" customHeight="1" x14ac:dyDescent="0.2">
      <c r="A685" s="2"/>
      <c r="E685" s="2"/>
      <c r="F685" s="2"/>
      <c r="G685" s="2"/>
      <c r="H685" s="2"/>
    </row>
    <row r="686" spans="1:8" ht="12.75" customHeight="1" x14ac:dyDescent="0.2">
      <c r="A686" s="2"/>
      <c r="E686" s="2"/>
      <c r="F686" s="2"/>
      <c r="G686" s="2"/>
      <c r="H686" s="2"/>
    </row>
    <row r="687" spans="1:8" ht="12.75" customHeight="1" x14ac:dyDescent="0.2">
      <c r="A687" s="2"/>
      <c r="E687" s="2"/>
      <c r="F687" s="2"/>
      <c r="G687" s="2"/>
      <c r="H687" s="2"/>
    </row>
    <row r="688" spans="1:8" ht="12.75" customHeight="1" x14ac:dyDescent="0.2">
      <c r="A688" s="2"/>
      <c r="E688" s="2"/>
      <c r="F688" s="2"/>
      <c r="G688" s="2"/>
      <c r="H688" s="2"/>
    </row>
    <row r="689" spans="1:8" ht="12.75" customHeight="1" x14ac:dyDescent="0.2">
      <c r="A689" s="2"/>
      <c r="E689" s="2"/>
      <c r="F689" s="2"/>
      <c r="G689" s="2"/>
      <c r="H689" s="2"/>
    </row>
    <row r="690" spans="1:8" ht="12.75" customHeight="1" x14ac:dyDescent="0.2">
      <c r="A690" s="2"/>
      <c r="E690" s="2"/>
      <c r="F690" s="2"/>
      <c r="G690" s="2"/>
      <c r="H690" s="2"/>
    </row>
    <row r="691" spans="1:8" ht="12.75" customHeight="1" x14ac:dyDescent="0.2">
      <c r="A691" s="2"/>
      <c r="E691" s="2"/>
      <c r="F691" s="2"/>
      <c r="G691" s="2"/>
      <c r="H691" s="2"/>
    </row>
    <row r="692" spans="1:8" ht="12.75" customHeight="1" x14ac:dyDescent="0.2">
      <c r="A692" s="2"/>
      <c r="E692" s="2"/>
      <c r="F692" s="2"/>
      <c r="G692" s="2"/>
      <c r="H692" s="2"/>
    </row>
    <row r="693" spans="1:8" ht="12.75" customHeight="1" x14ac:dyDescent="0.2">
      <c r="A693" s="2"/>
      <c r="E693" s="2"/>
      <c r="F693" s="2"/>
      <c r="G693" s="2"/>
      <c r="H693" s="2"/>
    </row>
    <row r="694" spans="1:8" ht="12.75" customHeight="1" x14ac:dyDescent="0.2">
      <c r="A694" s="2"/>
      <c r="E694" s="2"/>
      <c r="F694" s="2"/>
      <c r="G694" s="2"/>
      <c r="H694" s="2"/>
    </row>
    <row r="695" spans="1:8" ht="12.75" customHeight="1" x14ac:dyDescent="0.2">
      <c r="A695" s="2"/>
      <c r="E695" s="2"/>
      <c r="F695" s="2"/>
      <c r="G695" s="2"/>
      <c r="H695" s="2"/>
    </row>
    <row r="696" spans="1:8" ht="12.75" customHeight="1" x14ac:dyDescent="0.2">
      <c r="A696" s="2"/>
      <c r="E696" s="2"/>
      <c r="F696" s="2"/>
      <c r="G696" s="2"/>
      <c r="H696" s="2"/>
    </row>
    <row r="697" spans="1:8" ht="12.75" customHeight="1" x14ac:dyDescent="0.2">
      <c r="A697" s="2"/>
      <c r="E697" s="2"/>
      <c r="F697" s="2"/>
      <c r="G697" s="2"/>
      <c r="H697" s="2"/>
    </row>
    <row r="698" spans="1:8" ht="12.75" customHeight="1" x14ac:dyDescent="0.2">
      <c r="A698" s="2"/>
      <c r="E698" s="2"/>
      <c r="F698" s="2"/>
      <c r="G698" s="2"/>
      <c r="H698" s="2"/>
    </row>
    <row r="699" spans="1:8" ht="12.75" customHeight="1" x14ac:dyDescent="0.2">
      <c r="A699" s="2"/>
      <c r="E699" s="2"/>
      <c r="F699" s="2"/>
      <c r="G699" s="2"/>
      <c r="H699" s="2"/>
    </row>
    <row r="700" spans="1:8" ht="12.75" customHeight="1" x14ac:dyDescent="0.2">
      <c r="A700" s="2"/>
      <c r="E700" s="2"/>
      <c r="F700" s="2"/>
      <c r="G700" s="2"/>
      <c r="H700" s="2"/>
    </row>
    <row r="701" spans="1:8" ht="12.75" customHeight="1" x14ac:dyDescent="0.2">
      <c r="A701" s="2"/>
      <c r="E701" s="2"/>
      <c r="F701" s="2"/>
      <c r="G701" s="2"/>
      <c r="H701" s="2"/>
    </row>
    <row r="702" spans="1:8" ht="12.75" customHeight="1" x14ac:dyDescent="0.2">
      <c r="A702" s="2"/>
      <c r="E702" s="2"/>
      <c r="F702" s="2"/>
      <c r="G702" s="2"/>
      <c r="H702" s="2"/>
    </row>
    <row r="703" spans="1:8" ht="12.75" customHeight="1" x14ac:dyDescent="0.2">
      <c r="A703" s="2"/>
      <c r="E703" s="2"/>
      <c r="F703" s="2"/>
      <c r="G703" s="2"/>
      <c r="H703" s="2"/>
    </row>
    <row r="704" spans="1:8" ht="12.75" customHeight="1" x14ac:dyDescent="0.2">
      <c r="A704" s="2"/>
      <c r="E704" s="2"/>
      <c r="F704" s="2"/>
      <c r="G704" s="2"/>
      <c r="H704" s="2"/>
    </row>
    <row r="705" spans="1:8" ht="12.75" customHeight="1" x14ac:dyDescent="0.2">
      <c r="A705" s="2"/>
      <c r="E705" s="2"/>
      <c r="F705" s="2"/>
      <c r="G705" s="2"/>
      <c r="H705" s="2"/>
    </row>
    <row r="706" spans="1:8" ht="12.75" customHeight="1" x14ac:dyDescent="0.2">
      <c r="A706" s="2"/>
      <c r="E706" s="2"/>
      <c r="F706" s="2"/>
      <c r="G706" s="2"/>
      <c r="H706" s="2"/>
    </row>
    <row r="707" spans="1:8" ht="12.75" customHeight="1" x14ac:dyDescent="0.2">
      <c r="A707" s="2"/>
      <c r="E707" s="2"/>
      <c r="F707" s="2"/>
      <c r="G707" s="2"/>
      <c r="H707" s="2"/>
    </row>
    <row r="708" spans="1:8" ht="12.75" customHeight="1" x14ac:dyDescent="0.2">
      <c r="A708" s="2"/>
      <c r="E708" s="2"/>
      <c r="F708" s="2"/>
      <c r="G708" s="2"/>
      <c r="H708" s="2"/>
    </row>
    <row r="709" spans="1:8" ht="12.75" customHeight="1" x14ac:dyDescent="0.2">
      <c r="A709" s="2"/>
      <c r="E709" s="2"/>
      <c r="F709" s="2"/>
      <c r="G709" s="2"/>
      <c r="H709" s="2"/>
    </row>
    <row r="710" spans="1:8" ht="12.75" customHeight="1" x14ac:dyDescent="0.2">
      <c r="A710" s="2"/>
      <c r="E710" s="2"/>
      <c r="F710" s="2"/>
      <c r="G710" s="2"/>
      <c r="H710" s="2"/>
    </row>
    <row r="711" spans="1:8" ht="12.75" customHeight="1" x14ac:dyDescent="0.2">
      <c r="A711" s="2"/>
      <c r="E711" s="2"/>
      <c r="F711" s="2"/>
      <c r="G711" s="2"/>
      <c r="H711" s="2"/>
    </row>
    <row r="712" spans="1:8" ht="12.75" customHeight="1" x14ac:dyDescent="0.2">
      <c r="A712" s="2"/>
      <c r="E712" s="2"/>
      <c r="F712" s="2"/>
      <c r="G712" s="2"/>
      <c r="H712" s="2"/>
    </row>
    <row r="713" spans="1:8" ht="12.75" customHeight="1" x14ac:dyDescent="0.2">
      <c r="A713" s="2"/>
      <c r="E713" s="2"/>
      <c r="F713" s="2"/>
      <c r="G713" s="2"/>
      <c r="H713" s="2"/>
    </row>
    <row r="714" spans="1:8" ht="12.75" customHeight="1" x14ac:dyDescent="0.2">
      <c r="A714" s="2"/>
      <c r="E714" s="2"/>
      <c r="F714" s="2"/>
      <c r="G714" s="2"/>
      <c r="H714" s="2"/>
    </row>
    <row r="715" spans="1:8" ht="12.75" customHeight="1" x14ac:dyDescent="0.2">
      <c r="A715" s="2"/>
      <c r="E715" s="2"/>
      <c r="F715" s="2"/>
      <c r="G715" s="2"/>
      <c r="H715" s="2"/>
    </row>
    <row r="716" spans="1:8" ht="12.75" customHeight="1" x14ac:dyDescent="0.2">
      <c r="A716" s="2"/>
      <c r="E716" s="2"/>
      <c r="F716" s="2"/>
      <c r="G716" s="2"/>
      <c r="H716" s="2"/>
    </row>
    <row r="717" spans="1:8" ht="12.75" customHeight="1" x14ac:dyDescent="0.2">
      <c r="A717" s="2"/>
      <c r="E717" s="2"/>
      <c r="F717" s="2"/>
      <c r="G717" s="2"/>
      <c r="H717" s="2"/>
    </row>
    <row r="718" spans="1:8" ht="12.75" customHeight="1" x14ac:dyDescent="0.2">
      <c r="A718" s="2"/>
      <c r="E718" s="2"/>
      <c r="F718" s="2"/>
      <c r="G718" s="2"/>
      <c r="H718" s="2"/>
    </row>
    <row r="719" spans="1:8" ht="12.75" customHeight="1" x14ac:dyDescent="0.2">
      <c r="A719" s="2"/>
      <c r="E719" s="2"/>
      <c r="F719" s="2"/>
      <c r="G719" s="2"/>
      <c r="H719" s="2"/>
    </row>
    <row r="720" spans="1:8" ht="12.75" customHeight="1" x14ac:dyDescent="0.2">
      <c r="A720" s="2"/>
      <c r="E720" s="2"/>
      <c r="F720" s="2"/>
      <c r="G720" s="2"/>
      <c r="H720" s="2"/>
    </row>
    <row r="721" spans="1:8" ht="12.75" customHeight="1" x14ac:dyDescent="0.2">
      <c r="A721" s="2"/>
      <c r="E721" s="2"/>
      <c r="F721" s="2"/>
      <c r="G721" s="2"/>
      <c r="H721" s="2"/>
    </row>
    <row r="722" spans="1:8" ht="12.75" customHeight="1" x14ac:dyDescent="0.2">
      <c r="A722" s="2"/>
      <c r="E722" s="2"/>
      <c r="F722" s="2"/>
      <c r="G722" s="2"/>
      <c r="H722" s="2"/>
    </row>
    <row r="723" spans="1:8" ht="12.75" customHeight="1" x14ac:dyDescent="0.2">
      <c r="A723" s="2"/>
      <c r="E723" s="2"/>
      <c r="F723" s="2"/>
      <c r="G723" s="2"/>
      <c r="H723" s="2"/>
    </row>
    <row r="724" spans="1:8" ht="12.75" customHeight="1" x14ac:dyDescent="0.2">
      <c r="A724" s="2"/>
      <c r="E724" s="2"/>
      <c r="F724" s="2"/>
      <c r="G724" s="2"/>
      <c r="H724" s="2"/>
    </row>
    <row r="725" spans="1:8" ht="12.75" customHeight="1" x14ac:dyDescent="0.2">
      <c r="A725" s="2"/>
      <c r="E725" s="2"/>
      <c r="F725" s="2"/>
      <c r="G725" s="2"/>
      <c r="H725" s="2"/>
    </row>
    <row r="726" spans="1:8" ht="12.75" customHeight="1" x14ac:dyDescent="0.2">
      <c r="A726" s="2"/>
      <c r="E726" s="2"/>
      <c r="F726" s="2"/>
      <c r="G726" s="2"/>
      <c r="H726" s="2"/>
    </row>
    <row r="727" spans="1:8" ht="12.75" customHeight="1" x14ac:dyDescent="0.2">
      <c r="A727" s="2"/>
      <c r="E727" s="2"/>
      <c r="F727" s="2"/>
      <c r="G727" s="2"/>
      <c r="H727" s="2"/>
    </row>
    <row r="728" spans="1:8" ht="12.75" customHeight="1" x14ac:dyDescent="0.2">
      <c r="A728" s="2"/>
      <c r="E728" s="2"/>
      <c r="F728" s="2"/>
      <c r="G728" s="2"/>
      <c r="H728" s="2"/>
    </row>
    <row r="729" spans="1:8" ht="12.75" customHeight="1" x14ac:dyDescent="0.2">
      <c r="A729" s="2"/>
      <c r="E729" s="2"/>
      <c r="F729" s="2"/>
      <c r="G729" s="2"/>
      <c r="H729" s="2"/>
    </row>
    <row r="730" spans="1:8" ht="12.75" customHeight="1" x14ac:dyDescent="0.2">
      <c r="A730" s="2"/>
      <c r="E730" s="2"/>
      <c r="F730" s="2"/>
      <c r="G730" s="2"/>
      <c r="H730" s="2"/>
    </row>
    <row r="731" spans="1:8" ht="12.75" customHeight="1" x14ac:dyDescent="0.2">
      <c r="A731" s="2"/>
      <c r="E731" s="2"/>
      <c r="F731" s="2"/>
      <c r="G731" s="2"/>
      <c r="H731" s="2"/>
    </row>
    <row r="732" spans="1:8" ht="12.75" customHeight="1" x14ac:dyDescent="0.2">
      <c r="A732" s="2"/>
      <c r="E732" s="2"/>
      <c r="F732" s="2"/>
      <c r="G732" s="2"/>
      <c r="H732" s="2"/>
    </row>
    <row r="733" spans="1:8" ht="12.75" customHeight="1" x14ac:dyDescent="0.2">
      <c r="A733" s="2"/>
      <c r="E733" s="2"/>
      <c r="F733" s="2"/>
      <c r="G733" s="2"/>
      <c r="H733" s="2"/>
    </row>
    <row r="734" spans="1:8" ht="12.75" customHeight="1" x14ac:dyDescent="0.2">
      <c r="A734" s="2"/>
      <c r="E734" s="2"/>
      <c r="F734" s="2"/>
      <c r="G734" s="2"/>
      <c r="H734" s="2"/>
    </row>
    <row r="735" spans="1:8" ht="12.75" customHeight="1" x14ac:dyDescent="0.2">
      <c r="A735" s="2"/>
      <c r="E735" s="2"/>
      <c r="F735" s="2"/>
      <c r="G735" s="2"/>
      <c r="H735" s="2"/>
    </row>
    <row r="736" spans="1:8" ht="12.75" customHeight="1" x14ac:dyDescent="0.2">
      <c r="A736" s="2"/>
      <c r="E736" s="2"/>
      <c r="F736" s="2"/>
      <c r="G736" s="2"/>
      <c r="H736" s="2"/>
    </row>
    <row r="737" spans="1:8" ht="12.75" customHeight="1" x14ac:dyDescent="0.2">
      <c r="A737" s="2"/>
      <c r="E737" s="2"/>
      <c r="F737" s="2"/>
      <c r="G737" s="2"/>
      <c r="H737" s="2"/>
    </row>
    <row r="738" spans="1:8" ht="12.75" customHeight="1" x14ac:dyDescent="0.2">
      <c r="A738" s="2"/>
      <c r="E738" s="2"/>
      <c r="F738" s="2"/>
      <c r="G738" s="2"/>
      <c r="H738" s="2"/>
    </row>
    <row r="739" spans="1:8" ht="12.75" customHeight="1" x14ac:dyDescent="0.2">
      <c r="A739" s="2"/>
      <c r="E739" s="2"/>
      <c r="F739" s="2"/>
      <c r="G739" s="2"/>
      <c r="H739" s="2"/>
    </row>
    <row r="740" spans="1:8" ht="12.75" customHeight="1" x14ac:dyDescent="0.2">
      <c r="A740" s="2"/>
      <c r="E740" s="2"/>
      <c r="F740" s="2"/>
      <c r="G740" s="2"/>
      <c r="H740" s="2"/>
    </row>
    <row r="741" spans="1:8" ht="12.75" customHeight="1" x14ac:dyDescent="0.2">
      <c r="A741" s="2"/>
      <c r="E741" s="2"/>
      <c r="F741" s="2"/>
      <c r="G741" s="2"/>
      <c r="H741" s="2"/>
    </row>
    <row r="742" spans="1:8" ht="12.75" customHeight="1" x14ac:dyDescent="0.2">
      <c r="A742" s="2"/>
      <c r="E742" s="2"/>
      <c r="F742" s="2"/>
      <c r="G742" s="2"/>
      <c r="H742" s="2"/>
    </row>
    <row r="743" spans="1:8" ht="12.75" customHeight="1" x14ac:dyDescent="0.2">
      <c r="A743" s="2"/>
      <c r="E743" s="2"/>
      <c r="F743" s="2"/>
      <c r="G743" s="2"/>
      <c r="H743" s="2"/>
    </row>
    <row r="744" spans="1:8" ht="12.75" customHeight="1" x14ac:dyDescent="0.2">
      <c r="A744" s="2"/>
      <c r="E744" s="2"/>
      <c r="F744" s="2"/>
      <c r="G744" s="2"/>
      <c r="H744" s="2"/>
    </row>
    <row r="745" spans="1:8" ht="12.75" customHeight="1" x14ac:dyDescent="0.2">
      <c r="A745" s="2"/>
      <c r="E745" s="2"/>
      <c r="F745" s="2"/>
      <c r="G745" s="2"/>
      <c r="H745" s="2"/>
    </row>
    <row r="746" spans="1:8" ht="12.75" customHeight="1" x14ac:dyDescent="0.2">
      <c r="A746" s="2"/>
      <c r="E746" s="2"/>
      <c r="F746" s="2"/>
      <c r="G746" s="2"/>
      <c r="H746" s="2"/>
    </row>
    <row r="747" spans="1:8" ht="12.75" customHeight="1" x14ac:dyDescent="0.2">
      <c r="A747" s="2"/>
      <c r="E747" s="2"/>
      <c r="F747" s="2"/>
      <c r="G747" s="2"/>
      <c r="H747" s="2"/>
    </row>
    <row r="748" spans="1:8" ht="12.75" customHeight="1" x14ac:dyDescent="0.2">
      <c r="A748" s="2"/>
      <c r="E748" s="2"/>
      <c r="F748" s="2"/>
      <c r="G748" s="2"/>
      <c r="H748" s="2"/>
    </row>
    <row r="749" spans="1:8" ht="12.75" customHeight="1" x14ac:dyDescent="0.2">
      <c r="A749" s="2"/>
      <c r="E749" s="2"/>
      <c r="F749" s="2"/>
      <c r="G749" s="2"/>
      <c r="H749" s="2"/>
    </row>
    <row r="750" spans="1:8" ht="12.75" customHeight="1" x14ac:dyDescent="0.2">
      <c r="A750" s="2"/>
      <c r="E750" s="2"/>
      <c r="F750" s="2"/>
      <c r="G750" s="2"/>
      <c r="H750" s="2"/>
    </row>
    <row r="751" spans="1:8" ht="12.75" customHeight="1" x14ac:dyDescent="0.2">
      <c r="A751" s="2"/>
      <c r="E751" s="2"/>
      <c r="F751" s="2"/>
      <c r="G751" s="2"/>
      <c r="H751" s="2"/>
    </row>
    <row r="752" spans="1:8" ht="12.75" customHeight="1" x14ac:dyDescent="0.2">
      <c r="A752" s="2"/>
      <c r="E752" s="2"/>
      <c r="F752" s="2"/>
      <c r="G752" s="2"/>
      <c r="H752" s="2"/>
    </row>
    <row r="753" spans="1:8" ht="12.75" customHeight="1" x14ac:dyDescent="0.2">
      <c r="A753" s="2"/>
      <c r="E753" s="2"/>
      <c r="F753" s="2"/>
      <c r="G753" s="2"/>
      <c r="H753" s="2"/>
    </row>
    <row r="754" spans="1:8" ht="12.75" customHeight="1" x14ac:dyDescent="0.2">
      <c r="A754" s="2"/>
      <c r="E754" s="2"/>
      <c r="F754" s="2"/>
      <c r="G754" s="2"/>
      <c r="H754" s="2"/>
    </row>
    <row r="755" spans="1:8" ht="12.75" customHeight="1" x14ac:dyDescent="0.2">
      <c r="A755" s="2"/>
      <c r="E755" s="2"/>
      <c r="F755" s="2"/>
      <c r="G755" s="2"/>
      <c r="H755" s="2"/>
    </row>
    <row r="756" spans="1:8" ht="12.75" customHeight="1" x14ac:dyDescent="0.2">
      <c r="A756" s="2"/>
      <c r="E756" s="2"/>
      <c r="F756" s="2"/>
      <c r="G756" s="2"/>
      <c r="H756" s="2"/>
    </row>
    <row r="757" spans="1:8" ht="12.75" customHeight="1" x14ac:dyDescent="0.2">
      <c r="A757" s="2"/>
      <c r="E757" s="2"/>
      <c r="F757" s="2"/>
      <c r="G757" s="2"/>
      <c r="H757" s="2"/>
    </row>
    <row r="758" spans="1:8" ht="12.75" customHeight="1" x14ac:dyDescent="0.2">
      <c r="A758" s="2"/>
      <c r="E758" s="2"/>
      <c r="F758" s="2"/>
      <c r="G758" s="2"/>
      <c r="H758" s="2"/>
    </row>
    <row r="759" spans="1:8" ht="12.75" customHeight="1" x14ac:dyDescent="0.2">
      <c r="A759" s="2"/>
      <c r="E759" s="2"/>
      <c r="F759" s="2"/>
      <c r="G759" s="2"/>
      <c r="H759" s="2"/>
    </row>
    <row r="760" spans="1:8" ht="12.75" customHeight="1" x14ac:dyDescent="0.2">
      <c r="A760" s="2"/>
      <c r="E760" s="2"/>
      <c r="F760" s="2"/>
      <c r="G760" s="2"/>
      <c r="H760" s="2"/>
    </row>
    <row r="761" spans="1:8" ht="12.75" customHeight="1" x14ac:dyDescent="0.2">
      <c r="A761" s="2"/>
      <c r="E761" s="2"/>
      <c r="F761" s="2"/>
      <c r="G761" s="2"/>
      <c r="H761" s="2"/>
    </row>
    <row r="762" spans="1:8" ht="12.75" customHeight="1" x14ac:dyDescent="0.2">
      <c r="A762" s="2"/>
      <c r="E762" s="2"/>
      <c r="F762" s="2"/>
      <c r="G762" s="2"/>
      <c r="H762" s="2"/>
    </row>
    <row r="763" spans="1:8" ht="12.75" customHeight="1" x14ac:dyDescent="0.2">
      <c r="A763" s="2"/>
      <c r="E763" s="2"/>
      <c r="F763" s="2"/>
      <c r="G763" s="2"/>
      <c r="H763" s="2"/>
    </row>
    <row r="764" spans="1:8" ht="12.75" customHeight="1" x14ac:dyDescent="0.2">
      <c r="A764" s="2"/>
      <c r="E764" s="2"/>
      <c r="F764" s="2"/>
      <c r="G764" s="2"/>
      <c r="H764" s="2"/>
    </row>
    <row r="765" spans="1:8" ht="12.75" customHeight="1" x14ac:dyDescent="0.2">
      <c r="A765" s="2"/>
      <c r="E765" s="2"/>
      <c r="F765" s="2"/>
      <c r="G765" s="2"/>
      <c r="H765" s="2"/>
    </row>
    <row r="766" spans="1:8" ht="12.75" customHeight="1" x14ac:dyDescent="0.2">
      <c r="A766" s="2"/>
      <c r="E766" s="2"/>
      <c r="F766" s="2"/>
      <c r="G766" s="2"/>
      <c r="H766" s="2"/>
    </row>
    <row r="767" spans="1:8" ht="12.75" customHeight="1" x14ac:dyDescent="0.2">
      <c r="A767" s="2"/>
      <c r="E767" s="2"/>
      <c r="F767" s="2"/>
      <c r="G767" s="2"/>
      <c r="H767" s="2"/>
    </row>
    <row r="768" spans="1:8" ht="12.75" customHeight="1" x14ac:dyDescent="0.2">
      <c r="A768" s="2"/>
      <c r="E768" s="2"/>
      <c r="F768" s="2"/>
      <c r="G768" s="2"/>
      <c r="H768" s="2"/>
    </row>
    <row r="769" spans="1:8" ht="12.75" customHeight="1" x14ac:dyDescent="0.2">
      <c r="A769" s="2"/>
      <c r="E769" s="2"/>
      <c r="F769" s="2"/>
      <c r="G769" s="2"/>
      <c r="H769" s="2"/>
    </row>
    <row r="770" spans="1:8" ht="12.75" customHeight="1" x14ac:dyDescent="0.2">
      <c r="A770" s="2"/>
      <c r="E770" s="2"/>
      <c r="F770" s="2"/>
      <c r="G770" s="2"/>
      <c r="H770" s="2"/>
    </row>
    <row r="771" spans="1:8" ht="12.75" customHeight="1" x14ac:dyDescent="0.2">
      <c r="A771" s="2"/>
      <c r="E771" s="2"/>
      <c r="F771" s="2"/>
      <c r="G771" s="2"/>
      <c r="H771" s="2"/>
    </row>
    <row r="772" spans="1:8" ht="12.75" customHeight="1" x14ac:dyDescent="0.2">
      <c r="A772" s="2"/>
      <c r="E772" s="2"/>
      <c r="F772" s="2"/>
      <c r="G772" s="2"/>
      <c r="H772" s="2"/>
    </row>
    <row r="773" spans="1:8" ht="12.75" customHeight="1" x14ac:dyDescent="0.2">
      <c r="A773" s="2"/>
      <c r="E773" s="2"/>
      <c r="F773" s="2"/>
      <c r="G773" s="2"/>
      <c r="H773" s="2"/>
    </row>
    <row r="774" spans="1:8" ht="12.75" customHeight="1" x14ac:dyDescent="0.2">
      <c r="A774" s="2"/>
      <c r="E774" s="2"/>
      <c r="F774" s="2"/>
      <c r="G774" s="2"/>
      <c r="H774" s="2"/>
    </row>
    <row r="775" spans="1:8" ht="12.75" customHeight="1" x14ac:dyDescent="0.2">
      <c r="A775" s="2"/>
      <c r="E775" s="2"/>
      <c r="F775" s="2"/>
      <c r="G775" s="2"/>
      <c r="H775" s="2"/>
    </row>
    <row r="776" spans="1:8" ht="12.75" customHeight="1" x14ac:dyDescent="0.2">
      <c r="A776" s="2"/>
      <c r="E776" s="2"/>
      <c r="F776" s="2"/>
      <c r="G776" s="2"/>
      <c r="H776" s="2"/>
    </row>
    <row r="777" spans="1:8" ht="12.75" customHeight="1" x14ac:dyDescent="0.2">
      <c r="A777" s="2"/>
      <c r="E777" s="2"/>
      <c r="F777" s="2"/>
      <c r="G777" s="2"/>
      <c r="H777" s="2"/>
    </row>
    <row r="778" spans="1:8" ht="12.75" customHeight="1" x14ac:dyDescent="0.2">
      <c r="A778" s="2"/>
      <c r="E778" s="2"/>
      <c r="F778" s="2"/>
      <c r="G778" s="2"/>
      <c r="H778" s="2"/>
    </row>
    <row r="779" spans="1:8" ht="12.75" customHeight="1" x14ac:dyDescent="0.2">
      <c r="A779" s="2"/>
      <c r="E779" s="2"/>
      <c r="F779" s="2"/>
      <c r="G779" s="2"/>
      <c r="H779" s="2"/>
    </row>
    <row r="780" spans="1:8" ht="12.75" customHeight="1" x14ac:dyDescent="0.2">
      <c r="A780" s="2"/>
      <c r="E780" s="2"/>
      <c r="F780" s="2"/>
      <c r="G780" s="2"/>
      <c r="H780" s="2"/>
    </row>
    <row r="781" spans="1:8" ht="12.75" customHeight="1" x14ac:dyDescent="0.2">
      <c r="A781" s="2"/>
      <c r="E781" s="2"/>
      <c r="F781" s="2"/>
      <c r="G781" s="2"/>
      <c r="H781" s="2"/>
    </row>
    <row r="782" spans="1:8" ht="12.75" customHeight="1" x14ac:dyDescent="0.2">
      <c r="A782" s="2"/>
      <c r="E782" s="2"/>
      <c r="F782" s="2"/>
      <c r="G782" s="2"/>
      <c r="H782" s="2"/>
    </row>
    <row r="783" spans="1:8" ht="12.75" customHeight="1" x14ac:dyDescent="0.2">
      <c r="A783" s="2"/>
      <c r="E783" s="2"/>
      <c r="F783" s="2"/>
      <c r="G783" s="2"/>
      <c r="H783" s="2"/>
    </row>
    <row r="784" spans="1:8" ht="12.75" customHeight="1" x14ac:dyDescent="0.2">
      <c r="A784" s="2"/>
      <c r="E784" s="2"/>
      <c r="F784" s="2"/>
      <c r="G784" s="2"/>
      <c r="H784" s="2"/>
    </row>
    <row r="785" spans="1:8" ht="12.75" customHeight="1" x14ac:dyDescent="0.2">
      <c r="A785" s="2"/>
      <c r="E785" s="2"/>
      <c r="F785" s="2"/>
      <c r="G785" s="2"/>
      <c r="H785" s="2"/>
    </row>
    <row r="786" spans="1:8" ht="12.75" customHeight="1" x14ac:dyDescent="0.2">
      <c r="A786" s="2"/>
      <c r="E786" s="2"/>
      <c r="F786" s="2"/>
      <c r="G786" s="2"/>
      <c r="H786" s="2"/>
    </row>
    <row r="787" spans="1:8" ht="12.75" customHeight="1" x14ac:dyDescent="0.2">
      <c r="A787" s="2"/>
      <c r="E787" s="2"/>
      <c r="F787" s="2"/>
      <c r="G787" s="2"/>
      <c r="H787" s="2"/>
    </row>
    <row r="788" spans="1:8" ht="12.75" customHeight="1" x14ac:dyDescent="0.2">
      <c r="A788" s="2"/>
      <c r="E788" s="2"/>
      <c r="F788" s="2"/>
      <c r="G788" s="2"/>
      <c r="H788" s="2"/>
    </row>
    <row r="789" spans="1:8" ht="12.75" customHeight="1" x14ac:dyDescent="0.2">
      <c r="A789" s="2"/>
      <c r="E789" s="2"/>
      <c r="F789" s="2"/>
      <c r="G789" s="2"/>
      <c r="H789" s="2"/>
    </row>
    <row r="790" spans="1:8" ht="12.75" customHeight="1" x14ac:dyDescent="0.2">
      <c r="A790" s="2"/>
      <c r="E790" s="2"/>
      <c r="F790" s="2"/>
      <c r="G790" s="2"/>
      <c r="H790" s="2"/>
    </row>
    <row r="791" spans="1:8" ht="12.75" customHeight="1" x14ac:dyDescent="0.2">
      <c r="A791" s="2"/>
      <c r="E791" s="2"/>
      <c r="F791" s="2"/>
      <c r="G791" s="2"/>
      <c r="H791" s="2"/>
    </row>
    <row r="792" spans="1:8" ht="12.75" customHeight="1" x14ac:dyDescent="0.2">
      <c r="A792" s="2"/>
      <c r="E792" s="2"/>
      <c r="F792" s="2"/>
      <c r="G792" s="2"/>
      <c r="H792" s="2"/>
    </row>
    <row r="793" spans="1:8" ht="12.75" customHeight="1" x14ac:dyDescent="0.2">
      <c r="A793" s="2"/>
      <c r="E793" s="2"/>
      <c r="F793" s="2"/>
      <c r="G793" s="2"/>
      <c r="H793" s="2"/>
    </row>
    <row r="794" spans="1:8" ht="12.75" customHeight="1" x14ac:dyDescent="0.2">
      <c r="A794" s="2"/>
      <c r="E794" s="2"/>
      <c r="F794" s="2"/>
      <c r="G794" s="2"/>
      <c r="H794" s="2"/>
    </row>
    <row r="795" spans="1:8" ht="12.75" customHeight="1" x14ac:dyDescent="0.2">
      <c r="A795" s="2"/>
      <c r="E795" s="2"/>
      <c r="F795" s="2"/>
      <c r="G795" s="2"/>
      <c r="H795" s="2"/>
    </row>
    <row r="796" spans="1:8" ht="12.75" customHeight="1" x14ac:dyDescent="0.2">
      <c r="A796" s="2"/>
      <c r="E796" s="2"/>
      <c r="F796" s="2"/>
      <c r="G796" s="2"/>
      <c r="H796" s="2"/>
    </row>
    <row r="797" spans="1:8" ht="12.75" customHeight="1" x14ac:dyDescent="0.2">
      <c r="A797" s="2"/>
      <c r="E797" s="2"/>
      <c r="F797" s="2"/>
      <c r="G797" s="2"/>
      <c r="H797" s="2"/>
    </row>
    <row r="798" spans="1:8" ht="12.75" customHeight="1" x14ac:dyDescent="0.2">
      <c r="A798" s="2"/>
      <c r="E798" s="2"/>
      <c r="F798" s="2"/>
      <c r="G798" s="2"/>
      <c r="H798" s="2"/>
    </row>
    <row r="799" spans="1:8" ht="12.75" customHeight="1" x14ac:dyDescent="0.2">
      <c r="A799" s="2"/>
      <c r="E799" s="2"/>
      <c r="F799" s="2"/>
      <c r="G799" s="2"/>
      <c r="H799" s="2"/>
    </row>
    <row r="800" spans="1:8" ht="12.75" customHeight="1" x14ac:dyDescent="0.2">
      <c r="A800" s="2"/>
      <c r="E800" s="2"/>
      <c r="F800" s="2"/>
      <c r="G800" s="2"/>
      <c r="H800" s="2"/>
    </row>
    <row r="801" spans="1:8" ht="12.75" customHeight="1" x14ac:dyDescent="0.2">
      <c r="A801" s="2"/>
      <c r="E801" s="2"/>
      <c r="F801" s="2"/>
      <c r="G801" s="2"/>
      <c r="H801" s="2"/>
    </row>
    <row r="802" spans="1:8" ht="12.75" customHeight="1" x14ac:dyDescent="0.2">
      <c r="A802" s="2"/>
      <c r="E802" s="2"/>
      <c r="F802" s="2"/>
      <c r="G802" s="2"/>
      <c r="H802" s="2"/>
    </row>
    <row r="803" spans="1:8" ht="12.75" customHeight="1" x14ac:dyDescent="0.2">
      <c r="A803" s="2"/>
      <c r="E803" s="2"/>
      <c r="F803" s="2"/>
      <c r="G803" s="2"/>
      <c r="H803" s="2"/>
    </row>
    <row r="804" spans="1:8" ht="12.75" customHeight="1" x14ac:dyDescent="0.2">
      <c r="A804" s="2"/>
      <c r="E804" s="2"/>
      <c r="F804" s="2"/>
      <c r="G804" s="2"/>
      <c r="H804" s="2"/>
    </row>
    <row r="805" spans="1:8" ht="12.75" customHeight="1" x14ac:dyDescent="0.2">
      <c r="A805" s="2"/>
      <c r="E805" s="2"/>
      <c r="F805" s="2"/>
      <c r="G805" s="2"/>
      <c r="H805" s="2"/>
    </row>
    <row r="806" spans="1:8" ht="12.75" customHeight="1" x14ac:dyDescent="0.2">
      <c r="A806" s="2"/>
      <c r="E806" s="2"/>
      <c r="F806" s="2"/>
      <c r="G806" s="2"/>
      <c r="H806" s="2"/>
    </row>
    <row r="807" spans="1:8" ht="12.75" customHeight="1" x14ac:dyDescent="0.2">
      <c r="A807" s="2"/>
      <c r="E807" s="2"/>
      <c r="F807" s="2"/>
      <c r="G807" s="2"/>
      <c r="H807" s="2"/>
    </row>
    <row r="808" spans="1:8" ht="12.75" customHeight="1" x14ac:dyDescent="0.2">
      <c r="A808" s="2"/>
      <c r="E808" s="2"/>
      <c r="F808" s="2"/>
      <c r="G808" s="2"/>
      <c r="H808" s="2"/>
    </row>
    <row r="809" spans="1:8" ht="12.75" customHeight="1" x14ac:dyDescent="0.2">
      <c r="A809" s="2"/>
      <c r="E809" s="2"/>
      <c r="F809" s="2"/>
      <c r="G809" s="2"/>
      <c r="H809" s="2"/>
    </row>
    <row r="810" spans="1:8" ht="12.75" customHeight="1" x14ac:dyDescent="0.2">
      <c r="A810" s="2"/>
      <c r="E810" s="2"/>
      <c r="F810" s="2"/>
      <c r="G810" s="2"/>
      <c r="H810" s="2"/>
    </row>
    <row r="811" spans="1:8" ht="12.75" customHeight="1" x14ac:dyDescent="0.2">
      <c r="A811" s="2"/>
      <c r="E811" s="2"/>
      <c r="F811" s="2"/>
      <c r="G811" s="2"/>
      <c r="H811" s="2"/>
    </row>
    <row r="812" spans="1:8" ht="12.75" customHeight="1" x14ac:dyDescent="0.2">
      <c r="A812" s="2"/>
      <c r="E812" s="2"/>
      <c r="F812" s="2"/>
      <c r="G812" s="2"/>
      <c r="H812" s="2"/>
    </row>
    <row r="813" spans="1:8" ht="12.75" customHeight="1" x14ac:dyDescent="0.2">
      <c r="A813" s="2"/>
      <c r="E813" s="2"/>
      <c r="F813" s="2"/>
      <c r="G813" s="2"/>
      <c r="H813" s="2"/>
    </row>
    <row r="814" spans="1:8" ht="12.75" customHeight="1" x14ac:dyDescent="0.2">
      <c r="A814" s="2"/>
      <c r="E814" s="2"/>
      <c r="F814" s="2"/>
      <c r="G814" s="2"/>
      <c r="H814" s="2"/>
    </row>
    <row r="815" spans="1:8" ht="12.75" customHeight="1" x14ac:dyDescent="0.2">
      <c r="A815" s="2"/>
      <c r="E815" s="2"/>
      <c r="F815" s="2"/>
      <c r="G815" s="2"/>
      <c r="H815" s="2"/>
    </row>
    <row r="816" spans="1:8" ht="12.75" customHeight="1" x14ac:dyDescent="0.2">
      <c r="A816" s="2"/>
      <c r="E816" s="2"/>
      <c r="F816" s="2"/>
      <c r="G816" s="2"/>
      <c r="H816" s="2"/>
    </row>
    <row r="817" spans="1:8" ht="12.75" customHeight="1" x14ac:dyDescent="0.2">
      <c r="A817" s="2"/>
      <c r="E817" s="2"/>
      <c r="F817" s="2"/>
      <c r="G817" s="2"/>
      <c r="H817" s="2"/>
    </row>
    <row r="818" spans="1:8" ht="12.75" customHeight="1" x14ac:dyDescent="0.2">
      <c r="A818" s="2"/>
      <c r="E818" s="2"/>
      <c r="F818" s="2"/>
      <c r="G818" s="2"/>
      <c r="H818" s="2"/>
    </row>
    <row r="819" spans="1:8" ht="12.75" customHeight="1" x14ac:dyDescent="0.2">
      <c r="A819" s="2"/>
      <c r="E819" s="2"/>
      <c r="F819" s="2"/>
      <c r="G819" s="2"/>
      <c r="H819" s="2"/>
    </row>
    <row r="820" spans="1:8" ht="12.75" customHeight="1" x14ac:dyDescent="0.2">
      <c r="A820" s="2"/>
      <c r="E820" s="2"/>
      <c r="F820" s="2"/>
      <c r="G820" s="2"/>
      <c r="H820" s="2"/>
    </row>
    <row r="821" spans="1:8" ht="12.75" customHeight="1" x14ac:dyDescent="0.2">
      <c r="A821" s="2"/>
      <c r="E821" s="2"/>
      <c r="F821" s="2"/>
      <c r="G821" s="2"/>
      <c r="H821" s="2"/>
    </row>
    <row r="822" spans="1:8" ht="12.75" customHeight="1" x14ac:dyDescent="0.2">
      <c r="A822" s="2"/>
      <c r="E822" s="2"/>
      <c r="F822" s="2"/>
      <c r="G822" s="2"/>
      <c r="H822" s="2"/>
    </row>
    <row r="823" spans="1:8" ht="12.75" customHeight="1" x14ac:dyDescent="0.2">
      <c r="A823" s="2"/>
      <c r="E823" s="2"/>
      <c r="F823" s="2"/>
      <c r="G823" s="2"/>
      <c r="H823" s="2"/>
    </row>
    <row r="824" spans="1:8" ht="12.75" customHeight="1" x14ac:dyDescent="0.2">
      <c r="A824" s="2"/>
      <c r="E824" s="2"/>
      <c r="F824" s="2"/>
      <c r="G824" s="2"/>
      <c r="H824" s="2"/>
    </row>
    <row r="825" spans="1:8" ht="12.75" customHeight="1" x14ac:dyDescent="0.2">
      <c r="A825" s="2"/>
      <c r="E825" s="2"/>
      <c r="F825" s="2"/>
      <c r="G825" s="2"/>
      <c r="H825" s="2"/>
    </row>
    <row r="826" spans="1:8" ht="12.75" customHeight="1" x14ac:dyDescent="0.2">
      <c r="A826" s="2"/>
      <c r="E826" s="2"/>
      <c r="F826" s="2"/>
      <c r="G826" s="2"/>
      <c r="H826" s="2"/>
    </row>
    <row r="827" spans="1:8" ht="12.75" customHeight="1" x14ac:dyDescent="0.2">
      <c r="A827" s="2"/>
      <c r="E827" s="2"/>
      <c r="F827" s="2"/>
      <c r="G827" s="2"/>
      <c r="H827" s="2"/>
    </row>
    <row r="828" spans="1:8" ht="12.75" customHeight="1" x14ac:dyDescent="0.2">
      <c r="A828" s="2"/>
      <c r="E828" s="2"/>
      <c r="F828" s="2"/>
      <c r="G828" s="2"/>
      <c r="H828" s="2"/>
    </row>
    <row r="829" spans="1:8" ht="12.75" customHeight="1" x14ac:dyDescent="0.2">
      <c r="A829" s="2"/>
      <c r="E829" s="2"/>
      <c r="F829" s="2"/>
      <c r="G829" s="2"/>
      <c r="H829" s="2"/>
    </row>
    <row r="830" spans="1:8" ht="12.75" customHeight="1" x14ac:dyDescent="0.2">
      <c r="A830" s="2"/>
      <c r="E830" s="2"/>
      <c r="F830" s="2"/>
      <c r="G830" s="2"/>
      <c r="H830" s="2"/>
    </row>
    <row r="831" spans="1:8" ht="12.75" customHeight="1" x14ac:dyDescent="0.2">
      <c r="A831" s="2"/>
      <c r="E831" s="2"/>
      <c r="F831" s="2"/>
      <c r="G831" s="2"/>
      <c r="H831" s="2"/>
    </row>
    <row r="832" spans="1:8" ht="12.75" customHeight="1" x14ac:dyDescent="0.2">
      <c r="A832" s="2"/>
      <c r="E832" s="2"/>
      <c r="F832" s="2"/>
      <c r="G832" s="2"/>
      <c r="H832" s="2"/>
    </row>
    <row r="833" spans="1:8" ht="12.75" customHeight="1" x14ac:dyDescent="0.2">
      <c r="A833" s="2"/>
      <c r="E833" s="2"/>
      <c r="F833" s="2"/>
      <c r="G833" s="2"/>
      <c r="H833" s="2"/>
    </row>
    <row r="834" spans="1:8" ht="12.75" customHeight="1" x14ac:dyDescent="0.2">
      <c r="A834" s="2"/>
      <c r="E834" s="2"/>
      <c r="F834" s="2"/>
      <c r="G834" s="2"/>
      <c r="H834" s="2"/>
    </row>
    <row r="835" spans="1:8" ht="12.75" customHeight="1" x14ac:dyDescent="0.2">
      <c r="A835" s="2"/>
      <c r="E835" s="2"/>
      <c r="F835" s="2"/>
      <c r="G835" s="2"/>
      <c r="H835" s="2"/>
    </row>
    <row r="836" spans="1:8" ht="12.75" customHeight="1" x14ac:dyDescent="0.2">
      <c r="A836" s="2"/>
      <c r="E836" s="2"/>
      <c r="F836" s="2"/>
      <c r="G836" s="2"/>
      <c r="H836" s="2"/>
    </row>
    <row r="837" spans="1:8" ht="12.75" customHeight="1" x14ac:dyDescent="0.2">
      <c r="A837" s="2"/>
      <c r="E837" s="2"/>
      <c r="F837" s="2"/>
      <c r="G837" s="2"/>
      <c r="H837" s="2"/>
    </row>
    <row r="838" spans="1:8" ht="12.75" customHeight="1" x14ac:dyDescent="0.2">
      <c r="A838" s="2"/>
      <c r="E838" s="2"/>
      <c r="F838" s="2"/>
      <c r="G838" s="2"/>
      <c r="H838" s="2"/>
    </row>
    <row r="839" spans="1:8" ht="12.75" customHeight="1" x14ac:dyDescent="0.2">
      <c r="A839" s="2"/>
      <c r="E839" s="2"/>
      <c r="F839" s="2"/>
      <c r="G839" s="2"/>
      <c r="H839" s="2"/>
    </row>
    <row r="840" spans="1:8" ht="12.75" customHeight="1" x14ac:dyDescent="0.2">
      <c r="A840" s="2"/>
      <c r="E840" s="2"/>
      <c r="F840" s="2"/>
      <c r="G840" s="2"/>
      <c r="H840" s="2"/>
    </row>
    <row r="841" spans="1:8" ht="12.75" customHeight="1" x14ac:dyDescent="0.2">
      <c r="A841" s="2"/>
      <c r="E841" s="2"/>
      <c r="F841" s="2"/>
      <c r="G841" s="2"/>
      <c r="H841" s="2"/>
    </row>
    <row r="842" spans="1:8" ht="12.75" customHeight="1" x14ac:dyDescent="0.2">
      <c r="A842" s="2"/>
      <c r="E842" s="2"/>
      <c r="F842" s="2"/>
      <c r="G842" s="2"/>
      <c r="H842" s="2"/>
    </row>
    <row r="843" spans="1:8" ht="12.75" customHeight="1" x14ac:dyDescent="0.2">
      <c r="A843" s="2"/>
      <c r="E843" s="2"/>
      <c r="F843" s="2"/>
      <c r="G843" s="2"/>
      <c r="H843" s="2"/>
    </row>
    <row r="844" spans="1:8" ht="12.75" customHeight="1" x14ac:dyDescent="0.2">
      <c r="A844" s="2"/>
      <c r="E844" s="2"/>
      <c r="F844" s="2"/>
      <c r="G844" s="2"/>
      <c r="H844" s="2"/>
    </row>
    <row r="845" spans="1:8" ht="12.75" customHeight="1" x14ac:dyDescent="0.2">
      <c r="A845" s="2"/>
      <c r="E845" s="2"/>
      <c r="F845" s="2"/>
      <c r="G845" s="2"/>
      <c r="H845" s="2"/>
    </row>
    <row r="846" spans="1:8" ht="12.75" customHeight="1" x14ac:dyDescent="0.2">
      <c r="A846" s="2"/>
      <c r="E846" s="2"/>
      <c r="F846" s="2"/>
      <c r="G846" s="2"/>
      <c r="H846" s="2"/>
    </row>
    <row r="847" spans="1:8" ht="12.75" customHeight="1" x14ac:dyDescent="0.2">
      <c r="A847" s="2"/>
      <c r="E847" s="2"/>
      <c r="F847" s="2"/>
      <c r="G847" s="2"/>
      <c r="H847" s="2"/>
    </row>
    <row r="848" spans="1:8" ht="12.75" customHeight="1" x14ac:dyDescent="0.2">
      <c r="A848" s="2"/>
      <c r="E848" s="2"/>
      <c r="F848" s="2"/>
      <c r="G848" s="2"/>
      <c r="H848" s="2"/>
    </row>
    <row r="849" spans="1:8" ht="12.75" customHeight="1" x14ac:dyDescent="0.2">
      <c r="A849" s="2"/>
      <c r="E849" s="2"/>
      <c r="F849" s="2"/>
      <c r="G849" s="2"/>
      <c r="H849" s="2"/>
    </row>
    <row r="850" spans="1:8" ht="12.75" customHeight="1" x14ac:dyDescent="0.2">
      <c r="A850" s="2"/>
      <c r="E850" s="2"/>
      <c r="F850" s="2"/>
      <c r="G850" s="2"/>
      <c r="H850" s="2"/>
    </row>
    <row r="851" spans="1:8" ht="12.75" customHeight="1" x14ac:dyDescent="0.2">
      <c r="A851" s="2"/>
      <c r="E851" s="2"/>
      <c r="F851" s="2"/>
      <c r="G851" s="2"/>
      <c r="H851" s="2"/>
    </row>
    <row r="852" spans="1:8" ht="12.75" customHeight="1" x14ac:dyDescent="0.2">
      <c r="A852" s="2"/>
      <c r="E852" s="2"/>
      <c r="F852" s="2"/>
      <c r="G852" s="2"/>
      <c r="H852" s="2"/>
    </row>
    <row r="853" spans="1:8" ht="12.75" customHeight="1" x14ac:dyDescent="0.2">
      <c r="A853" s="2"/>
      <c r="E853" s="2"/>
      <c r="F853" s="2"/>
      <c r="G853" s="2"/>
      <c r="H853" s="2"/>
    </row>
    <row r="854" spans="1:8" ht="12.75" customHeight="1" x14ac:dyDescent="0.2">
      <c r="A854" s="2"/>
      <c r="E854" s="2"/>
      <c r="F854" s="2"/>
      <c r="G854" s="2"/>
      <c r="H854" s="2"/>
    </row>
    <row r="855" spans="1:8" ht="12.75" customHeight="1" x14ac:dyDescent="0.2">
      <c r="A855" s="2"/>
      <c r="E855" s="2"/>
      <c r="F855" s="2"/>
      <c r="G855" s="2"/>
      <c r="H855" s="2"/>
    </row>
    <row r="856" spans="1:8" ht="12.75" customHeight="1" x14ac:dyDescent="0.2">
      <c r="A856" s="2"/>
      <c r="E856" s="2"/>
      <c r="F856" s="2"/>
      <c r="G856" s="2"/>
      <c r="H856" s="2"/>
    </row>
    <row r="857" spans="1:8" ht="12.75" customHeight="1" x14ac:dyDescent="0.2">
      <c r="A857" s="2"/>
      <c r="E857" s="2"/>
      <c r="F857" s="2"/>
      <c r="G857" s="2"/>
      <c r="H857" s="2"/>
    </row>
    <row r="858" spans="1:8" ht="12.75" customHeight="1" x14ac:dyDescent="0.2">
      <c r="A858" s="2"/>
      <c r="E858" s="2"/>
      <c r="F858" s="2"/>
      <c r="G858" s="2"/>
      <c r="H858" s="2"/>
    </row>
    <row r="859" spans="1:8" ht="12.75" customHeight="1" x14ac:dyDescent="0.2">
      <c r="A859" s="2"/>
      <c r="E859" s="2"/>
      <c r="F859" s="2"/>
      <c r="G859" s="2"/>
      <c r="H859" s="2"/>
    </row>
    <row r="860" spans="1:8" ht="12.75" customHeight="1" x14ac:dyDescent="0.2">
      <c r="A860" s="2"/>
      <c r="E860" s="2"/>
      <c r="F860" s="2"/>
      <c r="G860" s="2"/>
      <c r="H860" s="2"/>
    </row>
    <row r="861" spans="1:8" ht="12.75" customHeight="1" x14ac:dyDescent="0.2">
      <c r="A861" s="2"/>
      <c r="E861" s="2"/>
      <c r="F861" s="2"/>
      <c r="G861" s="2"/>
      <c r="H861" s="2"/>
    </row>
    <row r="862" spans="1:8" ht="12.75" customHeight="1" x14ac:dyDescent="0.2">
      <c r="A862" s="2"/>
      <c r="E862" s="2"/>
      <c r="F862" s="2"/>
      <c r="G862" s="2"/>
      <c r="H862" s="2"/>
    </row>
    <row r="863" spans="1:8" ht="12.75" customHeight="1" x14ac:dyDescent="0.2">
      <c r="A863" s="2"/>
      <c r="E863" s="2"/>
      <c r="F863" s="2"/>
      <c r="G863" s="2"/>
      <c r="H863" s="2"/>
    </row>
    <row r="864" spans="1:8" ht="12.75" customHeight="1" x14ac:dyDescent="0.2">
      <c r="A864" s="2"/>
      <c r="E864" s="2"/>
      <c r="F864" s="2"/>
      <c r="G864" s="2"/>
      <c r="H864" s="2"/>
    </row>
    <row r="865" spans="1:8" ht="12.75" customHeight="1" x14ac:dyDescent="0.2">
      <c r="A865" s="2"/>
      <c r="E865" s="2"/>
      <c r="F865" s="2"/>
      <c r="G865" s="2"/>
      <c r="H865" s="2"/>
    </row>
    <row r="866" spans="1:8" ht="12.75" customHeight="1" x14ac:dyDescent="0.2">
      <c r="A866" s="2"/>
      <c r="E866" s="2"/>
      <c r="F866" s="2"/>
      <c r="G866" s="2"/>
      <c r="H866" s="2"/>
    </row>
    <row r="867" spans="1:8" ht="12.75" customHeight="1" x14ac:dyDescent="0.2">
      <c r="A867" s="2"/>
      <c r="E867" s="2"/>
      <c r="F867" s="2"/>
      <c r="G867" s="2"/>
      <c r="H867" s="2"/>
    </row>
    <row r="868" spans="1:8" ht="12.75" customHeight="1" x14ac:dyDescent="0.2">
      <c r="A868" s="2"/>
      <c r="E868" s="2"/>
      <c r="F868" s="2"/>
      <c r="G868" s="2"/>
      <c r="H868" s="2"/>
    </row>
    <row r="869" spans="1:8" ht="12.75" customHeight="1" x14ac:dyDescent="0.2">
      <c r="A869" s="2"/>
      <c r="E869" s="2"/>
      <c r="F869" s="2"/>
      <c r="G869" s="2"/>
      <c r="H869" s="2"/>
    </row>
    <row r="870" spans="1:8" ht="12.75" customHeight="1" x14ac:dyDescent="0.2">
      <c r="A870" s="2"/>
      <c r="E870" s="2"/>
      <c r="F870" s="2"/>
      <c r="G870" s="2"/>
      <c r="H870" s="2"/>
    </row>
    <row r="871" spans="1:8" ht="12.75" customHeight="1" x14ac:dyDescent="0.2">
      <c r="A871" s="2"/>
      <c r="E871" s="2"/>
      <c r="F871" s="2"/>
      <c r="G871" s="2"/>
      <c r="H871" s="2"/>
    </row>
    <row r="872" spans="1:8" ht="12.75" customHeight="1" x14ac:dyDescent="0.2">
      <c r="A872" s="2"/>
      <c r="E872" s="2"/>
      <c r="F872" s="2"/>
      <c r="G872" s="2"/>
      <c r="H872" s="2"/>
    </row>
    <row r="873" spans="1:8" ht="12.75" customHeight="1" x14ac:dyDescent="0.2">
      <c r="A873" s="2"/>
      <c r="E873" s="2"/>
      <c r="F873" s="2"/>
      <c r="G873" s="2"/>
      <c r="H873" s="2"/>
    </row>
    <row r="874" spans="1:8" ht="12.75" customHeight="1" x14ac:dyDescent="0.2">
      <c r="A874" s="2"/>
      <c r="E874" s="2"/>
      <c r="F874" s="2"/>
      <c r="G874" s="2"/>
      <c r="H874" s="2"/>
    </row>
    <row r="875" spans="1:8" ht="12.75" customHeight="1" x14ac:dyDescent="0.2">
      <c r="A875" s="2"/>
      <c r="E875" s="2"/>
      <c r="F875" s="2"/>
      <c r="G875" s="2"/>
      <c r="H875" s="2"/>
    </row>
    <row r="876" spans="1:8" ht="12.75" customHeight="1" x14ac:dyDescent="0.2">
      <c r="A876" s="2"/>
      <c r="E876" s="2"/>
      <c r="F876" s="2"/>
      <c r="G876" s="2"/>
      <c r="H876" s="2"/>
    </row>
    <row r="877" spans="1:8" ht="12.75" customHeight="1" x14ac:dyDescent="0.2">
      <c r="A877" s="2"/>
      <c r="E877" s="2"/>
      <c r="F877" s="2"/>
      <c r="G877" s="2"/>
      <c r="H877" s="2"/>
    </row>
    <row r="878" spans="1:8" ht="12.75" customHeight="1" x14ac:dyDescent="0.2">
      <c r="A878" s="2"/>
      <c r="E878" s="2"/>
      <c r="F878" s="2"/>
      <c r="G878" s="2"/>
      <c r="H878" s="2"/>
    </row>
    <row r="879" spans="1:8" ht="12.75" customHeight="1" x14ac:dyDescent="0.2">
      <c r="A879" s="2"/>
      <c r="E879" s="2"/>
      <c r="F879" s="2"/>
      <c r="G879" s="2"/>
      <c r="H879" s="2"/>
    </row>
    <row r="880" spans="1:8" ht="12.75" customHeight="1" x14ac:dyDescent="0.2">
      <c r="A880" s="2"/>
      <c r="E880" s="2"/>
      <c r="F880" s="2"/>
      <c r="G880" s="2"/>
      <c r="H880" s="2"/>
    </row>
    <row r="881" spans="1:8" ht="12.75" customHeight="1" x14ac:dyDescent="0.2">
      <c r="A881" s="2"/>
      <c r="E881" s="2"/>
      <c r="F881" s="2"/>
      <c r="G881" s="2"/>
      <c r="H881" s="2"/>
    </row>
    <row r="882" spans="1:8" ht="12.75" customHeight="1" x14ac:dyDescent="0.2">
      <c r="A882" s="2"/>
      <c r="E882" s="2"/>
      <c r="F882" s="2"/>
      <c r="G882" s="2"/>
      <c r="H882" s="2"/>
    </row>
    <row r="883" spans="1:8" ht="12.75" customHeight="1" x14ac:dyDescent="0.2">
      <c r="A883" s="2"/>
      <c r="E883" s="2"/>
      <c r="F883" s="2"/>
      <c r="G883" s="2"/>
      <c r="H883" s="2"/>
    </row>
    <row r="884" spans="1:8" ht="12.75" customHeight="1" x14ac:dyDescent="0.2">
      <c r="A884" s="2"/>
      <c r="E884" s="2"/>
      <c r="F884" s="2"/>
      <c r="G884" s="2"/>
      <c r="H884" s="2"/>
    </row>
    <row r="885" spans="1:8" ht="12.75" customHeight="1" x14ac:dyDescent="0.2">
      <c r="A885" s="2"/>
      <c r="E885" s="2"/>
      <c r="F885" s="2"/>
      <c r="G885" s="2"/>
      <c r="H885" s="2"/>
    </row>
    <row r="886" spans="1:8" ht="12.75" customHeight="1" x14ac:dyDescent="0.2">
      <c r="A886" s="2"/>
      <c r="E886" s="2"/>
      <c r="F886" s="2"/>
      <c r="G886" s="2"/>
      <c r="H886" s="2"/>
    </row>
    <row r="887" spans="1:8" ht="12.75" customHeight="1" x14ac:dyDescent="0.2">
      <c r="A887" s="2"/>
      <c r="E887" s="2"/>
      <c r="F887" s="2"/>
      <c r="G887" s="2"/>
      <c r="H887" s="2"/>
    </row>
    <row r="888" spans="1:8" ht="12.75" customHeight="1" x14ac:dyDescent="0.2">
      <c r="A888" s="2"/>
      <c r="E888" s="2"/>
      <c r="F888" s="2"/>
      <c r="G888" s="2"/>
      <c r="H888" s="2"/>
    </row>
    <row r="889" spans="1:8" ht="12.75" customHeight="1" x14ac:dyDescent="0.2">
      <c r="A889" s="2"/>
      <c r="E889" s="2"/>
      <c r="F889" s="2"/>
      <c r="G889" s="2"/>
      <c r="H889" s="2"/>
    </row>
    <row r="890" spans="1:8" ht="12.75" customHeight="1" x14ac:dyDescent="0.2">
      <c r="A890" s="2"/>
      <c r="E890" s="2"/>
      <c r="F890" s="2"/>
      <c r="G890" s="2"/>
      <c r="H890" s="2"/>
    </row>
    <row r="891" spans="1:8" ht="12.75" customHeight="1" x14ac:dyDescent="0.2">
      <c r="A891" s="2"/>
      <c r="E891" s="2"/>
      <c r="F891" s="2"/>
      <c r="G891" s="2"/>
      <c r="H891" s="2"/>
    </row>
    <row r="892" spans="1:8" ht="12.75" customHeight="1" x14ac:dyDescent="0.2">
      <c r="A892" s="2"/>
      <c r="E892" s="2"/>
      <c r="F892" s="2"/>
      <c r="G892" s="2"/>
      <c r="H892" s="2"/>
    </row>
    <row r="893" spans="1:8" ht="12.75" customHeight="1" x14ac:dyDescent="0.2">
      <c r="A893" s="2"/>
      <c r="E893" s="2"/>
      <c r="F893" s="2"/>
      <c r="G893" s="2"/>
      <c r="H893" s="2"/>
    </row>
    <row r="894" spans="1:8" ht="12.75" customHeight="1" x14ac:dyDescent="0.2">
      <c r="A894" s="2"/>
      <c r="E894" s="2"/>
      <c r="F894" s="2"/>
      <c r="G894" s="2"/>
      <c r="H894" s="2"/>
    </row>
    <row r="895" spans="1:8" ht="12.75" customHeight="1" x14ac:dyDescent="0.2">
      <c r="A895" s="2"/>
      <c r="E895" s="2"/>
      <c r="F895" s="2"/>
      <c r="G895" s="2"/>
      <c r="H895" s="2"/>
    </row>
    <row r="896" spans="1:8" ht="12.75" customHeight="1" x14ac:dyDescent="0.2">
      <c r="A896" s="2"/>
      <c r="E896" s="2"/>
      <c r="F896" s="2"/>
      <c r="G896" s="2"/>
      <c r="H896" s="2"/>
    </row>
    <row r="897" spans="1:8" ht="12.75" customHeight="1" x14ac:dyDescent="0.2">
      <c r="A897" s="2"/>
      <c r="E897" s="2"/>
      <c r="F897" s="2"/>
      <c r="G897" s="2"/>
      <c r="H897" s="2"/>
    </row>
    <row r="898" spans="1:8" ht="12.75" customHeight="1" x14ac:dyDescent="0.2">
      <c r="A898" s="2"/>
      <c r="E898" s="2"/>
      <c r="F898" s="2"/>
      <c r="G898" s="2"/>
      <c r="H898" s="2"/>
    </row>
    <row r="899" spans="1:8" ht="12.75" customHeight="1" x14ac:dyDescent="0.2">
      <c r="A899" s="2"/>
      <c r="E899" s="2"/>
      <c r="F899" s="2"/>
      <c r="G899" s="2"/>
      <c r="H899" s="2"/>
    </row>
    <row r="900" spans="1:8" ht="12.75" customHeight="1" x14ac:dyDescent="0.2">
      <c r="A900" s="2"/>
      <c r="E900" s="2"/>
      <c r="F900" s="2"/>
      <c r="G900" s="2"/>
      <c r="H900" s="2"/>
    </row>
    <row r="901" spans="1:8" ht="12.75" customHeight="1" x14ac:dyDescent="0.2">
      <c r="A901" s="2"/>
      <c r="E901" s="2"/>
      <c r="F901" s="2"/>
      <c r="G901" s="2"/>
      <c r="H901" s="2"/>
    </row>
    <row r="902" spans="1:8" ht="12.75" customHeight="1" x14ac:dyDescent="0.2">
      <c r="A902" s="2"/>
      <c r="E902" s="2"/>
      <c r="F902" s="2"/>
      <c r="G902" s="2"/>
      <c r="H902" s="2"/>
    </row>
    <row r="903" spans="1:8" ht="12.75" customHeight="1" x14ac:dyDescent="0.2">
      <c r="A903" s="2"/>
      <c r="E903" s="2"/>
      <c r="F903" s="2"/>
      <c r="G903" s="2"/>
      <c r="H903" s="2"/>
    </row>
    <row r="904" spans="1:8" ht="12.75" customHeight="1" x14ac:dyDescent="0.2">
      <c r="A904" s="2"/>
      <c r="E904" s="2"/>
      <c r="F904" s="2"/>
      <c r="G904" s="2"/>
      <c r="H904" s="2"/>
    </row>
    <row r="905" spans="1:8" ht="12.75" customHeight="1" x14ac:dyDescent="0.2">
      <c r="A905" s="2"/>
      <c r="E905" s="2"/>
      <c r="F905" s="2"/>
      <c r="G905" s="2"/>
      <c r="H905" s="2"/>
    </row>
    <row r="906" spans="1:8" ht="12.75" customHeight="1" x14ac:dyDescent="0.2">
      <c r="A906" s="2"/>
      <c r="E906" s="2"/>
      <c r="F906" s="2"/>
      <c r="G906" s="2"/>
      <c r="H906" s="2"/>
    </row>
    <row r="907" spans="1:8" ht="12.75" customHeight="1" x14ac:dyDescent="0.2">
      <c r="A907" s="2"/>
      <c r="E907" s="2"/>
      <c r="F907" s="2"/>
      <c r="G907" s="2"/>
      <c r="H907" s="2"/>
    </row>
    <row r="908" spans="1:8" ht="12.75" customHeight="1" x14ac:dyDescent="0.2">
      <c r="A908" s="2"/>
      <c r="E908" s="2"/>
      <c r="F908" s="2"/>
      <c r="G908" s="2"/>
      <c r="H908" s="2"/>
    </row>
    <row r="909" spans="1:8" ht="12.75" customHeight="1" x14ac:dyDescent="0.2">
      <c r="A909" s="2"/>
      <c r="E909" s="2"/>
      <c r="F909" s="2"/>
      <c r="G909" s="2"/>
      <c r="H909" s="2"/>
    </row>
    <row r="910" spans="1:8" ht="12.75" customHeight="1" x14ac:dyDescent="0.2">
      <c r="A910" s="2"/>
      <c r="E910" s="2"/>
      <c r="F910" s="2"/>
      <c r="G910" s="2"/>
      <c r="H910" s="2"/>
    </row>
    <row r="911" spans="1:8" ht="12.75" customHeight="1" x14ac:dyDescent="0.2">
      <c r="A911" s="2"/>
      <c r="E911" s="2"/>
      <c r="F911" s="2"/>
      <c r="G911" s="2"/>
      <c r="H911" s="2"/>
    </row>
    <row r="912" spans="1:8" ht="12.75" customHeight="1" x14ac:dyDescent="0.2">
      <c r="A912" s="2"/>
      <c r="E912" s="2"/>
      <c r="F912" s="2"/>
      <c r="G912" s="2"/>
      <c r="H912" s="2"/>
    </row>
    <row r="913" spans="1:8" ht="12.75" customHeight="1" x14ac:dyDescent="0.2">
      <c r="A913" s="2"/>
      <c r="E913" s="2"/>
      <c r="F913" s="2"/>
      <c r="G913" s="2"/>
      <c r="H913" s="2"/>
    </row>
    <row r="914" spans="1:8" ht="12.75" customHeight="1" x14ac:dyDescent="0.2">
      <c r="A914" s="2"/>
      <c r="E914" s="2"/>
      <c r="F914" s="2"/>
      <c r="G914" s="2"/>
      <c r="H914" s="2"/>
    </row>
    <row r="915" spans="1:8" ht="12.75" customHeight="1" x14ac:dyDescent="0.2">
      <c r="A915" s="2"/>
      <c r="E915" s="2"/>
      <c r="F915" s="2"/>
      <c r="G915" s="2"/>
      <c r="H915" s="2"/>
    </row>
    <row r="916" spans="1:8" ht="12.75" customHeight="1" x14ac:dyDescent="0.2">
      <c r="A916" s="2"/>
      <c r="E916" s="2"/>
      <c r="F916" s="2"/>
      <c r="G916" s="2"/>
      <c r="H916" s="2"/>
    </row>
    <row r="917" spans="1:8" ht="12.75" customHeight="1" x14ac:dyDescent="0.2">
      <c r="A917" s="2"/>
      <c r="E917" s="2"/>
      <c r="F917" s="2"/>
      <c r="G917" s="2"/>
      <c r="H917" s="2"/>
    </row>
    <row r="918" spans="1:8" ht="12.75" customHeight="1" x14ac:dyDescent="0.2">
      <c r="A918" s="2"/>
      <c r="E918" s="2"/>
      <c r="F918" s="2"/>
      <c r="G918" s="2"/>
      <c r="H918" s="2"/>
    </row>
    <row r="919" spans="1:8" ht="12.75" customHeight="1" x14ac:dyDescent="0.2">
      <c r="A919" s="2"/>
      <c r="E919" s="2"/>
      <c r="F919" s="2"/>
      <c r="G919" s="2"/>
      <c r="H919" s="2"/>
    </row>
    <row r="920" spans="1:8" ht="12.75" customHeight="1" x14ac:dyDescent="0.2">
      <c r="A920" s="2"/>
      <c r="E920" s="2"/>
      <c r="F920" s="2"/>
      <c r="G920" s="2"/>
      <c r="H920" s="2"/>
    </row>
    <row r="921" spans="1:8" ht="12.75" customHeight="1" x14ac:dyDescent="0.2">
      <c r="A921" s="2"/>
      <c r="E921" s="2"/>
      <c r="F921" s="2"/>
      <c r="G921" s="2"/>
      <c r="H921" s="2"/>
    </row>
    <row r="922" spans="1:8" ht="12.75" customHeight="1" x14ac:dyDescent="0.2">
      <c r="A922" s="2"/>
      <c r="E922" s="2"/>
      <c r="F922" s="2"/>
      <c r="G922" s="2"/>
      <c r="H922" s="2"/>
    </row>
    <row r="923" spans="1:8" ht="12.75" customHeight="1" x14ac:dyDescent="0.2">
      <c r="A923" s="2"/>
      <c r="E923" s="2"/>
      <c r="F923" s="2"/>
      <c r="G923" s="2"/>
      <c r="H923" s="2"/>
    </row>
    <row r="924" spans="1:8" ht="12.75" customHeight="1" x14ac:dyDescent="0.2">
      <c r="A924" s="2"/>
      <c r="E924" s="2"/>
      <c r="F924" s="2"/>
      <c r="G924" s="2"/>
      <c r="H924" s="2"/>
    </row>
    <row r="925" spans="1:8" ht="12.75" customHeight="1" x14ac:dyDescent="0.2">
      <c r="A925" s="2"/>
      <c r="E925" s="2"/>
      <c r="F925" s="2"/>
      <c r="G925" s="2"/>
      <c r="H925" s="2"/>
    </row>
    <row r="926" spans="1:8" ht="12.75" customHeight="1" x14ac:dyDescent="0.2">
      <c r="A926" s="2"/>
      <c r="E926" s="2"/>
      <c r="F926" s="2"/>
      <c r="G926" s="2"/>
      <c r="H926" s="2"/>
    </row>
    <row r="927" spans="1:8" ht="12.75" customHeight="1" x14ac:dyDescent="0.2">
      <c r="A927" s="2"/>
      <c r="E927" s="2"/>
      <c r="F927" s="2"/>
      <c r="G927" s="2"/>
      <c r="H927" s="2"/>
    </row>
    <row r="928" spans="1:8" ht="12.75" customHeight="1" x14ac:dyDescent="0.2">
      <c r="A928" s="2"/>
      <c r="E928" s="2"/>
      <c r="F928" s="2"/>
      <c r="G928" s="2"/>
      <c r="H928" s="2"/>
    </row>
    <row r="929" spans="1:8" ht="12.75" customHeight="1" x14ac:dyDescent="0.2">
      <c r="A929" s="2"/>
      <c r="E929" s="2"/>
      <c r="F929" s="2"/>
      <c r="G929" s="2"/>
      <c r="H929" s="2"/>
    </row>
    <row r="930" spans="1:8" ht="12.75" customHeight="1" x14ac:dyDescent="0.2">
      <c r="A930" s="2"/>
      <c r="E930" s="2"/>
      <c r="F930" s="2"/>
      <c r="G930" s="2"/>
      <c r="H930" s="2"/>
    </row>
    <row r="931" spans="1:8" ht="12.75" customHeight="1" x14ac:dyDescent="0.2">
      <c r="A931" s="2"/>
      <c r="E931" s="2"/>
      <c r="F931" s="2"/>
      <c r="G931" s="2"/>
      <c r="H931" s="2"/>
    </row>
    <row r="932" spans="1:8" ht="12.75" customHeight="1" x14ac:dyDescent="0.2">
      <c r="A932" s="2"/>
      <c r="E932" s="2"/>
      <c r="F932" s="2"/>
      <c r="G932" s="2"/>
      <c r="H932" s="2"/>
    </row>
    <row r="933" spans="1:8" ht="12.75" customHeight="1" x14ac:dyDescent="0.2">
      <c r="A933" s="2"/>
      <c r="E933" s="2"/>
      <c r="F933" s="2"/>
      <c r="G933" s="2"/>
      <c r="H933" s="2"/>
    </row>
    <row r="934" spans="1:8" ht="12.75" customHeight="1" x14ac:dyDescent="0.2">
      <c r="A934" s="2"/>
      <c r="E934" s="2"/>
      <c r="F934" s="2"/>
      <c r="G934" s="2"/>
      <c r="H934" s="2"/>
    </row>
    <row r="935" spans="1:8" ht="12.75" customHeight="1" x14ac:dyDescent="0.2">
      <c r="A935" s="2"/>
      <c r="E935" s="2"/>
      <c r="F935" s="2"/>
      <c r="G935" s="2"/>
      <c r="H935" s="2"/>
    </row>
    <row r="936" spans="1:8" ht="12.75" customHeight="1" x14ac:dyDescent="0.2">
      <c r="A936" s="2"/>
      <c r="E936" s="2"/>
      <c r="F936" s="2"/>
      <c r="G936" s="2"/>
      <c r="H936" s="2"/>
    </row>
    <row r="937" spans="1:8" ht="12.75" customHeight="1" x14ac:dyDescent="0.2">
      <c r="A937" s="2"/>
      <c r="E937" s="2"/>
      <c r="F937" s="2"/>
      <c r="G937" s="2"/>
      <c r="H937" s="2"/>
    </row>
    <row r="938" spans="1:8" ht="12.75" customHeight="1" x14ac:dyDescent="0.2">
      <c r="A938" s="2"/>
      <c r="E938" s="2"/>
      <c r="F938" s="2"/>
      <c r="G938" s="2"/>
      <c r="H938" s="2"/>
    </row>
    <row r="939" spans="1:8" ht="12.75" customHeight="1" x14ac:dyDescent="0.2">
      <c r="A939" s="2"/>
      <c r="E939" s="2"/>
      <c r="F939" s="2"/>
      <c r="G939" s="2"/>
      <c r="H939" s="2"/>
    </row>
    <row r="940" spans="1:8" ht="12.75" customHeight="1" x14ac:dyDescent="0.2">
      <c r="A940" s="2"/>
      <c r="E940" s="2"/>
      <c r="F940" s="2"/>
      <c r="G940" s="2"/>
      <c r="H940" s="2"/>
    </row>
    <row r="941" spans="1:8" ht="12.75" customHeight="1" x14ac:dyDescent="0.2">
      <c r="A941" s="2"/>
      <c r="E941" s="2"/>
      <c r="F941" s="2"/>
      <c r="G941" s="2"/>
      <c r="H941" s="2"/>
    </row>
    <row r="942" spans="1:8" ht="12.75" customHeight="1" x14ac:dyDescent="0.2">
      <c r="A942" s="2"/>
      <c r="E942" s="2"/>
      <c r="F942" s="2"/>
      <c r="G942" s="2"/>
      <c r="H942" s="2"/>
    </row>
    <row r="943" spans="1:8" ht="12.75" customHeight="1" x14ac:dyDescent="0.2">
      <c r="A943" s="2"/>
      <c r="E943" s="2"/>
      <c r="F943" s="2"/>
      <c r="G943" s="2"/>
      <c r="H943" s="2"/>
    </row>
    <row r="944" spans="1:8" ht="12.75" customHeight="1" x14ac:dyDescent="0.2">
      <c r="A944" s="2"/>
      <c r="E944" s="2"/>
      <c r="F944" s="2"/>
      <c r="G944" s="2"/>
      <c r="H944" s="2"/>
    </row>
    <row r="945" spans="1:8" ht="12.75" customHeight="1" x14ac:dyDescent="0.2">
      <c r="A945" s="2"/>
      <c r="E945" s="2"/>
      <c r="F945" s="2"/>
      <c r="G945" s="2"/>
      <c r="H945" s="2"/>
    </row>
    <row r="946" spans="1:8" ht="12.75" customHeight="1" x14ac:dyDescent="0.2">
      <c r="A946" s="2"/>
      <c r="E946" s="2"/>
      <c r="F946" s="2"/>
      <c r="G946" s="2"/>
      <c r="H946" s="2"/>
    </row>
    <row r="947" spans="1:8" ht="12.75" customHeight="1" x14ac:dyDescent="0.2">
      <c r="A947" s="2"/>
      <c r="E947" s="2"/>
      <c r="F947" s="2"/>
      <c r="G947" s="2"/>
      <c r="H947" s="2"/>
    </row>
    <row r="948" spans="1:8" ht="12.75" customHeight="1" x14ac:dyDescent="0.2">
      <c r="A948" s="2"/>
      <c r="E948" s="2"/>
      <c r="F948" s="2"/>
      <c r="G948" s="2"/>
      <c r="H948" s="2"/>
    </row>
    <row r="949" spans="1:8" ht="12.75" customHeight="1" x14ac:dyDescent="0.2">
      <c r="A949" s="2"/>
      <c r="E949" s="2"/>
      <c r="F949" s="2"/>
      <c r="G949" s="2"/>
      <c r="H949" s="2"/>
    </row>
    <row r="950" spans="1:8" ht="12.75" customHeight="1" x14ac:dyDescent="0.2">
      <c r="A950" s="2"/>
      <c r="E950" s="2"/>
      <c r="F950" s="2"/>
      <c r="G950" s="2"/>
      <c r="H950" s="2"/>
    </row>
    <row r="951" spans="1:8" ht="12.75" customHeight="1" x14ac:dyDescent="0.2">
      <c r="A951" s="2"/>
      <c r="E951" s="2"/>
      <c r="F951" s="2"/>
      <c r="G951" s="2"/>
      <c r="H951" s="2"/>
    </row>
    <row r="952" spans="1:8" ht="12.75" customHeight="1" x14ac:dyDescent="0.2">
      <c r="A952" s="2"/>
      <c r="E952" s="2"/>
      <c r="F952" s="2"/>
      <c r="G952" s="2"/>
      <c r="H952" s="2"/>
    </row>
    <row r="953" spans="1:8" ht="12.75" customHeight="1" x14ac:dyDescent="0.2">
      <c r="A953" s="2"/>
      <c r="E953" s="2"/>
      <c r="F953" s="2"/>
      <c r="G953" s="2"/>
      <c r="H953" s="2"/>
    </row>
    <row r="954" spans="1:8" ht="12.75" customHeight="1" x14ac:dyDescent="0.2">
      <c r="A954" s="2"/>
      <c r="E954" s="2"/>
      <c r="F954" s="2"/>
      <c r="G954" s="2"/>
      <c r="H954" s="2"/>
    </row>
    <row r="955" spans="1:8" ht="12.75" customHeight="1" x14ac:dyDescent="0.2">
      <c r="A955" s="2"/>
      <c r="E955" s="2"/>
      <c r="F955" s="2"/>
      <c r="G955" s="2"/>
      <c r="H955" s="2"/>
    </row>
    <row r="956" spans="1:8" ht="12.75" customHeight="1" x14ac:dyDescent="0.2">
      <c r="A956" s="2"/>
      <c r="E956" s="2"/>
      <c r="F956" s="2"/>
      <c r="G956" s="2"/>
      <c r="H956" s="2"/>
    </row>
    <row r="957" spans="1:8" ht="12.75" customHeight="1" x14ac:dyDescent="0.2">
      <c r="A957" s="2"/>
      <c r="E957" s="2"/>
      <c r="F957" s="2"/>
      <c r="G957" s="2"/>
      <c r="H957" s="2"/>
    </row>
    <row r="958" spans="1:8" ht="12.75" customHeight="1" x14ac:dyDescent="0.2">
      <c r="A958" s="2"/>
      <c r="E958" s="2"/>
      <c r="F958" s="2"/>
      <c r="G958" s="2"/>
      <c r="H958" s="2"/>
    </row>
    <row r="959" spans="1:8" ht="12.75" customHeight="1" x14ac:dyDescent="0.2">
      <c r="A959" s="2"/>
      <c r="E959" s="2"/>
      <c r="F959" s="2"/>
      <c r="G959" s="2"/>
      <c r="H959" s="2"/>
    </row>
    <row r="960" spans="1:8" ht="12.75" customHeight="1" x14ac:dyDescent="0.2">
      <c r="A960" s="2"/>
      <c r="E960" s="2"/>
      <c r="F960" s="2"/>
      <c r="G960" s="2"/>
      <c r="H960" s="2"/>
    </row>
    <row r="961" spans="1:8" ht="12.75" customHeight="1" x14ac:dyDescent="0.2">
      <c r="A961" s="2"/>
      <c r="E961" s="2"/>
      <c r="F961" s="2"/>
      <c r="G961" s="2"/>
      <c r="H961" s="2"/>
    </row>
    <row r="962" spans="1:8" ht="12.75" customHeight="1" x14ac:dyDescent="0.2">
      <c r="A962" s="2"/>
      <c r="E962" s="2"/>
      <c r="F962" s="2"/>
      <c r="G962" s="2"/>
      <c r="H962" s="2"/>
    </row>
    <row r="963" spans="1:8" ht="12.75" customHeight="1" x14ac:dyDescent="0.2">
      <c r="A963" s="2"/>
      <c r="E963" s="2"/>
      <c r="F963" s="2"/>
      <c r="G963" s="2"/>
      <c r="H963" s="2"/>
    </row>
    <row r="964" spans="1:8" ht="12.75" customHeight="1" x14ac:dyDescent="0.2">
      <c r="A964" s="2"/>
      <c r="E964" s="2"/>
      <c r="F964" s="2"/>
      <c r="G964" s="2"/>
      <c r="H964" s="2"/>
    </row>
    <row r="965" spans="1:8" ht="12.75" customHeight="1" x14ac:dyDescent="0.2">
      <c r="A965" s="2"/>
      <c r="E965" s="2"/>
      <c r="F965" s="2"/>
      <c r="G965" s="2"/>
      <c r="H965" s="2"/>
    </row>
    <row r="966" spans="1:8" ht="12.75" customHeight="1" x14ac:dyDescent="0.2">
      <c r="A966" s="2"/>
      <c r="E966" s="2"/>
      <c r="F966" s="2"/>
      <c r="G966" s="2"/>
      <c r="H966" s="2"/>
    </row>
    <row r="967" spans="1:8" ht="12.75" customHeight="1" x14ac:dyDescent="0.2">
      <c r="A967" s="2"/>
      <c r="E967" s="2"/>
      <c r="F967" s="2"/>
      <c r="G967" s="2"/>
      <c r="H967" s="2"/>
    </row>
    <row r="968" spans="1:8" ht="12.75" customHeight="1" x14ac:dyDescent="0.2">
      <c r="A968" s="2"/>
      <c r="E968" s="2"/>
      <c r="F968" s="2"/>
      <c r="G968" s="2"/>
      <c r="H968" s="2"/>
    </row>
    <row r="969" spans="1:8" ht="12.75" customHeight="1" x14ac:dyDescent="0.2">
      <c r="A969" s="2"/>
      <c r="E969" s="2"/>
      <c r="F969" s="2"/>
      <c r="G969" s="2"/>
      <c r="H969" s="2"/>
    </row>
    <row r="970" spans="1:8" ht="12.75" customHeight="1" x14ac:dyDescent="0.2">
      <c r="A970" s="2"/>
      <c r="E970" s="2"/>
      <c r="F970" s="2"/>
      <c r="G970" s="2"/>
      <c r="H970" s="2"/>
    </row>
    <row r="971" spans="1:8" ht="12.75" customHeight="1" x14ac:dyDescent="0.2">
      <c r="A971" s="2"/>
      <c r="E971" s="2"/>
      <c r="F971" s="2"/>
      <c r="G971" s="2"/>
      <c r="H971" s="2"/>
    </row>
    <row r="972" spans="1:8" ht="12.75" customHeight="1" x14ac:dyDescent="0.2">
      <c r="A972" s="2"/>
      <c r="E972" s="2"/>
      <c r="F972" s="2"/>
      <c r="G972" s="2"/>
      <c r="H972" s="2"/>
    </row>
    <row r="973" spans="1:8" ht="12.75" customHeight="1" x14ac:dyDescent="0.2">
      <c r="A973" s="2"/>
      <c r="E973" s="2"/>
      <c r="F973" s="2"/>
      <c r="G973" s="2"/>
      <c r="H973" s="2"/>
    </row>
    <row r="974" spans="1:8" ht="12.75" customHeight="1" x14ac:dyDescent="0.2">
      <c r="A974" s="2"/>
      <c r="E974" s="2"/>
      <c r="F974" s="2"/>
      <c r="G974" s="2"/>
      <c r="H974" s="2"/>
    </row>
    <row r="975" spans="1:8" ht="12.75" customHeight="1" x14ac:dyDescent="0.2">
      <c r="A975" s="2"/>
      <c r="E975" s="2"/>
      <c r="F975" s="2"/>
      <c r="G975" s="2"/>
      <c r="H975" s="2"/>
    </row>
    <row r="976" spans="1:8" ht="12.75" customHeight="1" x14ac:dyDescent="0.2">
      <c r="A976" s="2"/>
      <c r="E976" s="2"/>
      <c r="F976" s="2"/>
      <c r="G976" s="2"/>
      <c r="H976" s="2"/>
    </row>
    <row r="977" spans="1:8" ht="12.75" customHeight="1" x14ac:dyDescent="0.2">
      <c r="A977" s="2"/>
      <c r="E977" s="2"/>
      <c r="F977" s="2"/>
      <c r="G977" s="2"/>
      <c r="H977" s="2"/>
    </row>
    <row r="978" spans="1:8" ht="12.75" customHeight="1" x14ac:dyDescent="0.2">
      <c r="A978" s="2"/>
      <c r="E978" s="2"/>
      <c r="F978" s="2"/>
      <c r="G978" s="2"/>
      <c r="H978" s="2"/>
    </row>
    <row r="979" spans="1:8" ht="12.75" customHeight="1" x14ac:dyDescent="0.2">
      <c r="A979" s="2"/>
      <c r="E979" s="2"/>
      <c r="F979" s="2"/>
      <c r="G979" s="2"/>
      <c r="H979" s="2"/>
    </row>
    <row r="980" spans="1:8" ht="12.75" customHeight="1" x14ac:dyDescent="0.2">
      <c r="A980" s="2"/>
      <c r="E980" s="2"/>
      <c r="F980" s="2"/>
      <c r="G980" s="2"/>
      <c r="H980" s="2"/>
    </row>
    <row r="981" spans="1:8" ht="12.75" customHeight="1" x14ac:dyDescent="0.2">
      <c r="A981" s="2"/>
      <c r="E981" s="2"/>
      <c r="F981" s="2"/>
      <c r="G981" s="2"/>
      <c r="H981" s="2"/>
    </row>
    <row r="982" spans="1:8" ht="12.75" customHeight="1" x14ac:dyDescent="0.2">
      <c r="A982" s="2"/>
      <c r="E982" s="2"/>
      <c r="F982" s="2"/>
      <c r="G982" s="2"/>
      <c r="H982" s="2"/>
    </row>
    <row r="983" spans="1:8" ht="12.75" customHeight="1" x14ac:dyDescent="0.2">
      <c r="A983" s="2"/>
      <c r="E983" s="2"/>
      <c r="F983" s="2"/>
      <c r="G983" s="2"/>
      <c r="H983" s="2"/>
    </row>
    <row r="984" spans="1:8" ht="12.75" customHeight="1" x14ac:dyDescent="0.2">
      <c r="A984" s="2"/>
      <c r="E984" s="2"/>
      <c r="F984" s="2"/>
      <c r="G984" s="2"/>
      <c r="H984" s="2"/>
    </row>
    <row r="985" spans="1:8" ht="12.75" customHeight="1" x14ac:dyDescent="0.2">
      <c r="A985" s="2"/>
      <c r="E985" s="2"/>
      <c r="F985" s="2"/>
      <c r="G985" s="2"/>
      <c r="H985" s="2"/>
    </row>
    <row r="986" spans="1:8" ht="12.75" customHeight="1" x14ac:dyDescent="0.2">
      <c r="A986" s="2"/>
      <c r="E986" s="2"/>
      <c r="F986" s="2"/>
      <c r="G986" s="2"/>
      <c r="H986" s="2"/>
    </row>
    <row r="987" spans="1:8" ht="12.75" customHeight="1" x14ac:dyDescent="0.2">
      <c r="A987" s="2"/>
      <c r="E987" s="2"/>
      <c r="F987" s="2"/>
      <c r="G987" s="2"/>
      <c r="H987" s="2"/>
    </row>
    <row r="988" spans="1:8" ht="12.75" customHeight="1" x14ac:dyDescent="0.2">
      <c r="A988" s="2"/>
      <c r="E988" s="2"/>
      <c r="F988" s="2"/>
      <c r="G988" s="2"/>
      <c r="H988" s="2"/>
    </row>
    <row r="989" spans="1:8" ht="12.75" customHeight="1" x14ac:dyDescent="0.2">
      <c r="A989" s="2"/>
      <c r="E989" s="2"/>
      <c r="F989" s="2"/>
      <c r="G989" s="2"/>
      <c r="H989" s="2"/>
    </row>
    <row r="990" spans="1:8" ht="12.75" customHeight="1" x14ac:dyDescent="0.2">
      <c r="A990" s="2"/>
      <c r="E990" s="2"/>
      <c r="F990" s="2"/>
      <c r="G990" s="2"/>
      <c r="H990" s="2"/>
    </row>
    <row r="991" spans="1:8" ht="12.75" customHeight="1" x14ac:dyDescent="0.2">
      <c r="A991" s="2"/>
      <c r="E991" s="2"/>
      <c r="F991" s="2"/>
      <c r="G991" s="2"/>
      <c r="H991" s="2"/>
    </row>
    <row r="992" spans="1:8" ht="12.75" customHeight="1" x14ac:dyDescent="0.2">
      <c r="A992" s="2"/>
      <c r="E992" s="2"/>
      <c r="F992" s="2"/>
      <c r="G992" s="2"/>
      <c r="H992" s="2"/>
    </row>
    <row r="993" spans="1:8" ht="12.75" customHeight="1" x14ac:dyDescent="0.2">
      <c r="A993" s="2"/>
      <c r="E993" s="2"/>
      <c r="F993" s="2"/>
      <c r="G993" s="2"/>
      <c r="H993" s="2"/>
    </row>
    <row r="994" spans="1:8" ht="12.75" customHeight="1" x14ac:dyDescent="0.2">
      <c r="A994" s="2"/>
      <c r="E994" s="2"/>
      <c r="F994" s="2"/>
      <c r="G994" s="2"/>
      <c r="H994" s="2"/>
    </row>
    <row r="995" spans="1:8" ht="12.75" customHeight="1" x14ac:dyDescent="0.2">
      <c r="A995" s="2"/>
      <c r="E995" s="2"/>
      <c r="F995" s="2"/>
      <c r="G995" s="2"/>
      <c r="H995" s="2"/>
    </row>
    <row r="996" spans="1:8" ht="12.75" customHeight="1" x14ac:dyDescent="0.2">
      <c r="A996" s="2"/>
      <c r="E996" s="2"/>
      <c r="F996" s="2"/>
      <c r="G996" s="2"/>
      <c r="H996" s="2"/>
    </row>
    <row r="997" spans="1:8" ht="12.75" customHeight="1" x14ac:dyDescent="0.2">
      <c r="A997" s="2"/>
      <c r="E997" s="2"/>
      <c r="F997" s="2"/>
      <c r="G997" s="2"/>
      <c r="H997" s="2"/>
    </row>
    <row r="998" spans="1:8" ht="12.75" customHeight="1" x14ac:dyDescent="0.2">
      <c r="A998" s="2"/>
      <c r="E998" s="2"/>
      <c r="F998" s="2"/>
      <c r="G998" s="2"/>
      <c r="H998" s="2"/>
    </row>
    <row r="999" spans="1:8" ht="12.75" customHeight="1" x14ac:dyDescent="0.2">
      <c r="A999" s="2"/>
      <c r="E999" s="2"/>
      <c r="F999" s="2"/>
      <c r="G999" s="2"/>
      <c r="H999" s="2"/>
    </row>
    <row r="1000" spans="1:8" ht="12.75" customHeight="1" x14ac:dyDescent="0.2">
      <c r="A1000" s="2"/>
      <c r="E1000" s="2"/>
      <c r="F1000" s="2"/>
      <c r="G1000" s="2"/>
      <c r="H1000" s="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000"/>
  <sheetViews>
    <sheetView zoomScaleNormal="100" workbookViewId="0">
      <selection activeCell="D18" sqref="D18"/>
    </sheetView>
  </sheetViews>
  <sheetFormatPr baseColWidth="10" defaultColWidth="14.42578125" defaultRowHeight="15" customHeight="1" x14ac:dyDescent="0.2"/>
  <cols>
    <col min="1" max="2" width="10.7109375" customWidth="1"/>
    <col min="3" max="3" width="6.28515625" customWidth="1"/>
    <col min="4" max="4" width="36.28515625" customWidth="1"/>
    <col min="5" max="5" width="9.7109375" customWidth="1"/>
    <col min="6" max="26" width="10.7109375" customWidth="1"/>
  </cols>
  <sheetData>
    <row r="1" spans="2:5" ht="12.75" customHeight="1" x14ac:dyDescent="0.2"/>
    <row r="2" spans="2:5" ht="12.75" customHeight="1" x14ac:dyDescent="0.2">
      <c r="B2" s="5"/>
      <c r="C2" s="68" t="s">
        <v>116</v>
      </c>
      <c r="D2" s="69"/>
      <c r="E2" s="67"/>
    </row>
    <row r="3" spans="2:5" ht="12.75" customHeight="1" x14ac:dyDescent="0.2">
      <c r="B3" s="5"/>
      <c r="C3" s="6" t="s">
        <v>117</v>
      </c>
      <c r="D3" s="7" t="s">
        <v>118</v>
      </c>
      <c r="E3" s="7" t="s">
        <v>7</v>
      </c>
    </row>
    <row r="4" spans="2:5" ht="12.75" customHeight="1" x14ac:dyDescent="0.2">
      <c r="B4" s="5"/>
      <c r="C4" s="6" t="s">
        <v>119</v>
      </c>
      <c r="D4" s="8" t="s">
        <v>120</v>
      </c>
      <c r="E4" s="7"/>
    </row>
    <row r="5" spans="2:5" ht="12.75" customHeight="1" x14ac:dyDescent="0.2">
      <c r="B5" s="5"/>
      <c r="C5" s="9" t="s">
        <v>121</v>
      </c>
      <c r="D5" s="10" t="s">
        <v>58</v>
      </c>
      <c r="E5" s="11">
        <v>3</v>
      </c>
    </row>
    <row r="6" spans="2:5" ht="12.75" customHeight="1" x14ac:dyDescent="0.2">
      <c r="B6" s="5"/>
      <c r="C6" s="9" t="s">
        <v>122</v>
      </c>
      <c r="D6" s="10" t="s">
        <v>59</v>
      </c>
      <c r="E6" s="11">
        <v>1</v>
      </c>
    </row>
    <row r="7" spans="2:5" ht="12.75" customHeight="1" x14ac:dyDescent="0.2">
      <c r="B7" s="5"/>
      <c r="C7" s="9" t="s">
        <v>123</v>
      </c>
      <c r="D7" s="10" t="s">
        <v>60</v>
      </c>
      <c r="E7" s="11">
        <v>1</v>
      </c>
    </row>
    <row r="8" spans="2:5" ht="12.75" customHeight="1" x14ac:dyDescent="0.2">
      <c r="B8" s="5"/>
      <c r="C8" s="9" t="s">
        <v>124</v>
      </c>
      <c r="D8" s="10" t="s">
        <v>61</v>
      </c>
      <c r="E8" s="11">
        <v>1</v>
      </c>
    </row>
    <row r="9" spans="2:5" ht="12.75" customHeight="1" x14ac:dyDescent="0.2">
      <c r="B9" s="5"/>
      <c r="C9" s="9" t="s">
        <v>125</v>
      </c>
      <c r="D9" s="10" t="s">
        <v>62</v>
      </c>
      <c r="E9" s="11">
        <v>1</v>
      </c>
    </row>
    <row r="10" spans="2:5" ht="12.75" customHeight="1" x14ac:dyDescent="0.2">
      <c r="B10" s="5"/>
      <c r="C10" s="9" t="s">
        <v>126</v>
      </c>
      <c r="D10" s="10" t="s">
        <v>63</v>
      </c>
      <c r="E10" s="11">
        <v>3</v>
      </c>
    </row>
    <row r="11" spans="2:5" ht="12.75" customHeight="1" x14ac:dyDescent="0.2">
      <c r="B11" s="5"/>
      <c r="C11" s="9" t="s">
        <v>127</v>
      </c>
      <c r="D11" s="10" t="s">
        <v>64</v>
      </c>
      <c r="E11" s="11">
        <v>2</v>
      </c>
    </row>
    <row r="12" spans="2:5" ht="12.75" customHeight="1" x14ac:dyDescent="0.2">
      <c r="B12" s="5"/>
      <c r="C12" s="6" t="s">
        <v>128</v>
      </c>
      <c r="D12" s="8" t="s">
        <v>129</v>
      </c>
      <c r="E12" s="11"/>
    </row>
    <row r="13" spans="2:5" ht="12.75" customHeight="1" x14ac:dyDescent="0.2">
      <c r="B13" s="5"/>
      <c r="C13" s="9" t="s">
        <v>130</v>
      </c>
      <c r="D13" s="10" t="s">
        <v>65</v>
      </c>
      <c r="E13" s="11">
        <v>1</v>
      </c>
    </row>
    <row r="14" spans="2:5" ht="12.75" customHeight="1" x14ac:dyDescent="0.2">
      <c r="B14" s="5"/>
      <c r="C14" s="9" t="s">
        <v>131</v>
      </c>
      <c r="D14" s="10" t="s">
        <v>66</v>
      </c>
      <c r="E14" s="11">
        <v>4</v>
      </c>
    </row>
    <row r="15" spans="2:5" ht="12.75" customHeight="1" x14ac:dyDescent="0.2">
      <c r="B15" s="5"/>
      <c r="C15" s="9" t="s">
        <v>132</v>
      </c>
      <c r="D15" s="10" t="s">
        <v>67</v>
      </c>
      <c r="E15" s="11">
        <v>2</v>
      </c>
    </row>
    <row r="16" spans="2:5" ht="12.75" customHeight="1" x14ac:dyDescent="0.2">
      <c r="B16" s="5"/>
      <c r="C16" s="9" t="s">
        <v>133</v>
      </c>
      <c r="D16" s="10" t="s">
        <v>68</v>
      </c>
      <c r="E16" s="11">
        <v>2</v>
      </c>
    </row>
    <row r="17" spans="2:5" ht="12.75" customHeight="1" x14ac:dyDescent="0.2">
      <c r="B17" s="5"/>
      <c r="C17" s="9" t="s">
        <v>134</v>
      </c>
      <c r="D17" s="10" t="s">
        <v>69</v>
      </c>
      <c r="E17" s="11">
        <v>1</v>
      </c>
    </row>
    <row r="18" spans="2:5" ht="12.75" customHeight="1" x14ac:dyDescent="0.2">
      <c r="B18" s="5"/>
      <c r="C18" s="9" t="s">
        <v>135</v>
      </c>
      <c r="D18" s="10" t="s">
        <v>70</v>
      </c>
      <c r="E18" s="11">
        <v>2</v>
      </c>
    </row>
    <row r="19" spans="2:5" ht="12.75" customHeight="1" x14ac:dyDescent="0.2">
      <c r="B19" s="5"/>
      <c r="C19" s="9" t="s">
        <v>135</v>
      </c>
      <c r="D19" s="10" t="s">
        <v>71</v>
      </c>
      <c r="E19" s="11">
        <v>1</v>
      </c>
    </row>
    <row r="20" spans="2:5" ht="12.75" customHeight="1" x14ac:dyDescent="0.2">
      <c r="B20" s="5"/>
      <c r="C20" s="9" t="s">
        <v>136</v>
      </c>
      <c r="D20" s="10" t="s">
        <v>72</v>
      </c>
      <c r="E20" s="11">
        <v>1</v>
      </c>
    </row>
    <row r="21" spans="2:5" ht="12.75" customHeight="1" x14ac:dyDescent="0.2">
      <c r="B21" s="5"/>
      <c r="C21" s="9" t="s">
        <v>137</v>
      </c>
      <c r="D21" s="10" t="s">
        <v>73</v>
      </c>
      <c r="E21" s="11">
        <v>1</v>
      </c>
    </row>
    <row r="22" spans="2:5" ht="12.75" customHeight="1" x14ac:dyDescent="0.2">
      <c r="B22" s="5"/>
      <c r="C22" s="9" t="s">
        <v>138</v>
      </c>
      <c r="D22" s="10" t="s">
        <v>74</v>
      </c>
      <c r="E22" s="11">
        <v>1</v>
      </c>
    </row>
    <row r="23" spans="2:5" ht="12.75" customHeight="1" x14ac:dyDescent="0.2">
      <c r="B23" s="5"/>
      <c r="C23" s="9" t="s">
        <v>139</v>
      </c>
      <c r="D23" s="10" t="s">
        <v>75</v>
      </c>
      <c r="E23" s="11">
        <v>1</v>
      </c>
    </row>
    <row r="24" spans="2:5" ht="12.75" customHeight="1" x14ac:dyDescent="0.2">
      <c r="B24" s="5"/>
      <c r="C24" s="9" t="s">
        <v>140</v>
      </c>
      <c r="D24" s="10" t="s">
        <v>76</v>
      </c>
      <c r="E24" s="11">
        <v>2</v>
      </c>
    </row>
    <row r="25" spans="2:5" ht="12.75" customHeight="1" x14ac:dyDescent="0.2">
      <c r="B25" s="5"/>
      <c r="C25" s="9" t="s">
        <v>141</v>
      </c>
      <c r="D25" s="10" t="s">
        <v>77</v>
      </c>
      <c r="E25" s="11">
        <v>3</v>
      </c>
    </row>
    <row r="26" spans="2:5" ht="12.75" customHeight="1" x14ac:dyDescent="0.2">
      <c r="B26" s="5"/>
      <c r="C26" s="9" t="s">
        <v>142</v>
      </c>
      <c r="D26" s="10" t="s">
        <v>78</v>
      </c>
      <c r="E26" s="11">
        <v>3</v>
      </c>
    </row>
    <row r="27" spans="2:5" ht="12.75" customHeight="1" x14ac:dyDescent="0.2">
      <c r="B27" s="5"/>
      <c r="C27" s="9" t="s">
        <v>143</v>
      </c>
      <c r="D27" s="10" t="s">
        <v>79</v>
      </c>
      <c r="E27" s="11">
        <v>1</v>
      </c>
    </row>
    <row r="28" spans="2:5" ht="12.75" customHeight="1" x14ac:dyDescent="0.2">
      <c r="B28" s="5"/>
      <c r="C28" s="9" t="s">
        <v>144</v>
      </c>
      <c r="D28" s="10" t="s">
        <v>80</v>
      </c>
      <c r="E28" s="11">
        <v>1</v>
      </c>
    </row>
    <row r="29" spans="2:5" ht="12.75" customHeight="1" x14ac:dyDescent="0.2">
      <c r="B29" s="5"/>
      <c r="C29" s="9" t="s">
        <v>145</v>
      </c>
      <c r="D29" s="10" t="s">
        <v>81</v>
      </c>
      <c r="E29" s="11">
        <v>1</v>
      </c>
    </row>
    <row r="30" spans="2:5" ht="12.75" customHeight="1" x14ac:dyDescent="0.2">
      <c r="B30" s="5"/>
      <c r="C30" s="9" t="s">
        <v>146</v>
      </c>
      <c r="D30" s="10" t="s">
        <v>82</v>
      </c>
      <c r="E30" s="11">
        <v>2</v>
      </c>
    </row>
    <row r="31" spans="2:5" ht="12.75" customHeight="1" x14ac:dyDescent="0.2">
      <c r="B31" s="5"/>
      <c r="C31" s="9" t="s">
        <v>147</v>
      </c>
      <c r="D31" s="10" t="s">
        <v>83</v>
      </c>
      <c r="E31" s="11">
        <v>6</v>
      </c>
    </row>
    <row r="32" spans="2:5" ht="12.75" customHeight="1" x14ac:dyDescent="0.2">
      <c r="B32" s="5"/>
      <c r="C32" s="9" t="s">
        <v>148</v>
      </c>
      <c r="D32" s="10" t="s">
        <v>84</v>
      </c>
      <c r="E32" s="11">
        <v>1</v>
      </c>
    </row>
    <row r="33" spans="2:8" ht="12.75" customHeight="1" x14ac:dyDescent="0.2">
      <c r="B33" s="5"/>
      <c r="C33" s="9" t="s">
        <v>149</v>
      </c>
      <c r="D33" s="10" t="s">
        <v>85</v>
      </c>
      <c r="E33" s="11">
        <v>4</v>
      </c>
    </row>
    <row r="34" spans="2:8" ht="12.75" customHeight="1" x14ac:dyDescent="0.2">
      <c r="B34" s="5"/>
      <c r="C34" s="9" t="s">
        <v>150</v>
      </c>
      <c r="D34" s="10" t="s">
        <v>86</v>
      </c>
      <c r="E34" s="11">
        <v>1</v>
      </c>
    </row>
    <row r="35" spans="2:8" ht="12.75" customHeight="1" x14ac:dyDescent="0.2">
      <c r="B35" s="5"/>
      <c r="C35" s="9" t="s">
        <v>151</v>
      </c>
      <c r="D35" s="10" t="s">
        <v>87</v>
      </c>
      <c r="E35" s="11">
        <v>4</v>
      </c>
    </row>
    <row r="36" spans="2:8" ht="12.75" customHeight="1" x14ac:dyDescent="0.2">
      <c r="B36" s="5"/>
      <c r="C36" s="9" t="s">
        <v>152</v>
      </c>
      <c r="D36" s="10" t="s">
        <v>88</v>
      </c>
      <c r="E36" s="11">
        <v>2</v>
      </c>
    </row>
    <row r="37" spans="2:8" ht="12.75" customHeight="1" x14ac:dyDescent="0.2">
      <c r="B37" s="5"/>
      <c r="C37" s="9" t="s">
        <v>153</v>
      </c>
      <c r="D37" s="10" t="s">
        <v>89</v>
      </c>
      <c r="E37" s="11">
        <v>1</v>
      </c>
    </row>
    <row r="38" spans="2:8" ht="12.75" customHeight="1" x14ac:dyDescent="0.2">
      <c r="B38" s="5"/>
      <c r="C38" s="9"/>
      <c r="D38" s="10"/>
      <c r="E38" s="11"/>
    </row>
    <row r="39" spans="2:8" ht="12.75" customHeight="1" x14ac:dyDescent="0.2">
      <c r="B39" s="5"/>
      <c r="C39" s="9"/>
      <c r="D39" s="10"/>
      <c r="E39" s="11"/>
    </row>
    <row r="40" spans="2:8" ht="12.75" customHeight="1" x14ac:dyDescent="0.2">
      <c r="B40" s="5"/>
      <c r="C40" s="9"/>
      <c r="D40" s="10"/>
      <c r="E40" s="11"/>
    </row>
    <row r="41" spans="2:8" ht="12.75" customHeight="1" x14ac:dyDescent="0.2">
      <c r="B41" s="5"/>
      <c r="C41" s="9"/>
      <c r="D41" s="10"/>
      <c r="E41" s="11"/>
    </row>
    <row r="42" spans="2:8" ht="12.75" customHeight="1" x14ac:dyDescent="0.2">
      <c r="B42" s="5"/>
      <c r="C42" s="9"/>
      <c r="D42" s="10"/>
      <c r="E42" s="11"/>
    </row>
    <row r="43" spans="2:8" ht="12.75" customHeight="1" x14ac:dyDescent="0.2">
      <c r="B43" s="5"/>
      <c r="C43" s="9"/>
      <c r="D43" s="10"/>
      <c r="E43" s="11"/>
    </row>
    <row r="44" spans="2:8" ht="12.75" customHeight="1" x14ac:dyDescent="0.2">
      <c r="B44" s="5"/>
      <c r="C44" s="68" t="s">
        <v>154</v>
      </c>
      <c r="D44" s="69"/>
      <c r="E44" s="67"/>
    </row>
    <row r="45" spans="2:8" ht="12.75" customHeight="1" x14ac:dyDescent="0.2">
      <c r="B45" s="5"/>
      <c r="C45" s="6" t="s">
        <v>117</v>
      </c>
      <c r="D45" s="7" t="s">
        <v>118</v>
      </c>
      <c r="E45" s="7" t="s">
        <v>7</v>
      </c>
      <c r="F45" s="12" t="s">
        <v>8</v>
      </c>
      <c r="G45" s="12" t="s">
        <v>9</v>
      </c>
      <c r="H45" s="12" t="s">
        <v>10</v>
      </c>
    </row>
    <row r="46" spans="2:8" ht="12.75" customHeight="1" x14ac:dyDescent="0.2">
      <c r="B46" s="5"/>
      <c r="C46" s="9" t="s">
        <v>119</v>
      </c>
      <c r="D46" s="10" t="s">
        <v>91</v>
      </c>
      <c r="E46" s="11">
        <v>1</v>
      </c>
      <c r="H46" s="1">
        <f t="shared" ref="H46:H60" si="0">+E46+F46-G46</f>
        <v>1</v>
      </c>
    </row>
    <row r="47" spans="2:8" ht="12.75" customHeight="1" x14ac:dyDescent="0.2">
      <c r="B47" s="5"/>
      <c r="C47" s="9" t="s">
        <v>128</v>
      </c>
      <c r="D47" s="10" t="s">
        <v>93</v>
      </c>
      <c r="E47" s="11">
        <v>1</v>
      </c>
      <c r="H47" s="1">
        <f t="shared" si="0"/>
        <v>1</v>
      </c>
    </row>
    <row r="48" spans="2:8" ht="12.75" customHeight="1" x14ac:dyDescent="0.2">
      <c r="B48" s="5"/>
      <c r="C48" s="9" t="s">
        <v>155</v>
      </c>
      <c r="D48" s="10" t="s">
        <v>94</v>
      </c>
      <c r="E48" s="11"/>
      <c r="H48" s="1">
        <f t="shared" si="0"/>
        <v>0</v>
      </c>
    </row>
    <row r="49" spans="2:8" ht="12.75" customHeight="1" x14ac:dyDescent="0.2">
      <c r="B49" s="5"/>
      <c r="C49" s="9" t="s">
        <v>156</v>
      </c>
      <c r="D49" s="10" t="s">
        <v>95</v>
      </c>
      <c r="E49" s="11">
        <v>2</v>
      </c>
      <c r="H49" s="1">
        <f t="shared" si="0"/>
        <v>2</v>
      </c>
    </row>
    <row r="50" spans="2:8" ht="12.75" customHeight="1" x14ac:dyDescent="0.2">
      <c r="B50" s="5"/>
      <c r="C50" s="9" t="s">
        <v>157</v>
      </c>
      <c r="D50" s="10" t="s">
        <v>97</v>
      </c>
      <c r="E50" s="11">
        <v>3</v>
      </c>
      <c r="H50" s="1">
        <f t="shared" si="0"/>
        <v>3</v>
      </c>
    </row>
    <row r="51" spans="2:8" ht="12.75" customHeight="1" x14ac:dyDescent="0.2">
      <c r="B51" s="5"/>
      <c r="C51" s="9" t="s">
        <v>158</v>
      </c>
      <c r="D51" s="10" t="s">
        <v>98</v>
      </c>
      <c r="E51" s="11">
        <v>3</v>
      </c>
      <c r="H51" s="1">
        <f t="shared" si="0"/>
        <v>3</v>
      </c>
    </row>
    <row r="52" spans="2:8" ht="12.75" customHeight="1" x14ac:dyDescent="0.2">
      <c r="B52" s="5"/>
      <c r="C52" s="9" t="s">
        <v>159</v>
      </c>
      <c r="D52" s="10" t="s">
        <v>100</v>
      </c>
      <c r="E52" s="11">
        <v>1</v>
      </c>
      <c r="H52" s="1">
        <f t="shared" si="0"/>
        <v>1</v>
      </c>
    </row>
    <row r="53" spans="2:8" ht="12.75" customHeight="1" x14ac:dyDescent="0.2">
      <c r="B53" s="5"/>
      <c r="C53" s="9" t="s">
        <v>160</v>
      </c>
      <c r="D53" s="10" t="s">
        <v>101</v>
      </c>
      <c r="E53" s="11">
        <v>46</v>
      </c>
      <c r="G53" s="1">
        <v>1</v>
      </c>
      <c r="H53" s="1">
        <f t="shared" si="0"/>
        <v>45</v>
      </c>
    </row>
    <row r="54" spans="2:8" ht="12.75" customHeight="1" x14ac:dyDescent="0.2">
      <c r="B54" s="5"/>
      <c r="C54" s="9" t="s">
        <v>161</v>
      </c>
      <c r="D54" s="10" t="s">
        <v>104</v>
      </c>
      <c r="E54" s="11">
        <v>3</v>
      </c>
      <c r="H54" s="1">
        <f t="shared" si="0"/>
        <v>3</v>
      </c>
    </row>
    <row r="55" spans="2:8" ht="12.75" customHeight="1" x14ac:dyDescent="0.2">
      <c r="B55" s="5"/>
      <c r="C55" s="9" t="s">
        <v>162</v>
      </c>
      <c r="D55" s="10" t="s">
        <v>106</v>
      </c>
      <c r="E55" s="11">
        <v>1</v>
      </c>
      <c r="H55" s="1">
        <f t="shared" si="0"/>
        <v>1</v>
      </c>
    </row>
    <row r="56" spans="2:8" ht="12.75" customHeight="1" x14ac:dyDescent="0.2">
      <c r="B56" s="5"/>
      <c r="C56" s="9" t="s">
        <v>163</v>
      </c>
      <c r="D56" s="10" t="s">
        <v>107</v>
      </c>
      <c r="E56" s="11"/>
      <c r="H56" s="1">
        <f t="shared" si="0"/>
        <v>0</v>
      </c>
    </row>
    <row r="57" spans="2:8" ht="12.75" customHeight="1" x14ac:dyDescent="0.2">
      <c r="B57" s="5"/>
      <c r="C57" s="9" t="s">
        <v>164</v>
      </c>
      <c r="D57" s="10" t="s">
        <v>108</v>
      </c>
      <c r="E57" s="11">
        <v>2</v>
      </c>
      <c r="H57" s="1">
        <f t="shared" si="0"/>
        <v>2</v>
      </c>
    </row>
    <row r="58" spans="2:8" ht="12.75" customHeight="1" x14ac:dyDescent="0.2">
      <c r="B58" s="5"/>
      <c r="C58" s="9" t="s">
        <v>165</v>
      </c>
      <c r="D58" s="10" t="s">
        <v>110</v>
      </c>
      <c r="E58" s="11">
        <v>1</v>
      </c>
      <c r="H58" s="1">
        <f t="shared" si="0"/>
        <v>1</v>
      </c>
    </row>
    <row r="59" spans="2:8" ht="12.75" customHeight="1" x14ac:dyDescent="0.2">
      <c r="B59" s="5"/>
      <c r="C59" s="9" t="s">
        <v>166</v>
      </c>
      <c r="D59" s="10" t="s">
        <v>111</v>
      </c>
      <c r="E59" s="11">
        <v>1</v>
      </c>
      <c r="H59" s="1">
        <f t="shared" si="0"/>
        <v>1</v>
      </c>
    </row>
    <row r="60" spans="2:8" ht="12.75" customHeight="1" x14ac:dyDescent="0.2">
      <c r="B60" s="5"/>
      <c r="C60" s="9" t="s">
        <v>167</v>
      </c>
      <c r="D60" s="10" t="s">
        <v>168</v>
      </c>
      <c r="E60" s="11">
        <v>11</v>
      </c>
      <c r="H60" s="1">
        <f t="shared" si="0"/>
        <v>11</v>
      </c>
    </row>
    <row r="61" spans="2:8" ht="12.75" customHeight="1" x14ac:dyDescent="0.2">
      <c r="B61" s="5"/>
      <c r="C61" s="9"/>
      <c r="D61" s="10"/>
      <c r="E61" s="11"/>
    </row>
    <row r="62" spans="2:8" ht="12.75" customHeight="1" x14ac:dyDescent="0.2">
      <c r="B62" s="5"/>
      <c r="C62" s="9"/>
      <c r="D62" s="10"/>
      <c r="E62" s="11"/>
    </row>
    <row r="63" spans="2:8" ht="12.75" customHeight="1" x14ac:dyDescent="0.2">
      <c r="B63" s="5"/>
      <c r="C63" s="9"/>
      <c r="D63" s="10"/>
      <c r="E63" s="11"/>
    </row>
    <row r="64" spans="2:8" ht="12.75" customHeight="1" x14ac:dyDescent="0.2">
      <c r="B64" s="5"/>
      <c r="C64" s="9"/>
      <c r="D64" s="10"/>
      <c r="E64" s="11"/>
    </row>
    <row r="65" spans="2:5" ht="12.75" customHeight="1" x14ac:dyDescent="0.2">
      <c r="B65" s="5"/>
      <c r="C65" s="9"/>
      <c r="D65" s="10"/>
      <c r="E65" s="11"/>
    </row>
    <row r="66" spans="2:5" ht="12.75" customHeight="1" x14ac:dyDescent="0.2">
      <c r="B66" s="5"/>
      <c r="C66" s="9"/>
      <c r="D66" s="10"/>
      <c r="E66" s="11"/>
    </row>
    <row r="67" spans="2:5" ht="12.75" customHeight="1" x14ac:dyDescent="0.2">
      <c r="B67" s="5"/>
      <c r="C67" s="9"/>
      <c r="D67" s="10"/>
      <c r="E67" s="11"/>
    </row>
    <row r="68" spans="2:5" ht="12.75" customHeight="1" x14ac:dyDescent="0.2">
      <c r="B68" s="5"/>
      <c r="C68" s="9"/>
      <c r="D68" s="10"/>
      <c r="E68" s="11"/>
    </row>
    <row r="69" spans="2:5" ht="12.75" customHeight="1" x14ac:dyDescent="0.2">
      <c r="B69" s="5"/>
      <c r="C69" s="9"/>
      <c r="D69" s="10"/>
      <c r="E69" s="11"/>
    </row>
    <row r="70" spans="2:5" ht="12.75" customHeight="1" x14ac:dyDescent="0.2">
      <c r="B70" s="5"/>
      <c r="C70" s="9"/>
      <c r="D70" s="10"/>
      <c r="E70" s="11"/>
    </row>
    <row r="71" spans="2:5" ht="12.75" customHeight="1" x14ac:dyDescent="0.2">
      <c r="B71" s="5"/>
      <c r="C71" s="9"/>
      <c r="D71" s="10"/>
      <c r="E71" s="11"/>
    </row>
    <row r="72" spans="2:5" ht="12.75" customHeight="1" x14ac:dyDescent="0.2">
      <c r="B72" s="5"/>
      <c r="C72" s="9"/>
      <c r="D72" s="10"/>
      <c r="E72" s="11"/>
    </row>
    <row r="73" spans="2:5" ht="12.75" customHeight="1" x14ac:dyDescent="0.2">
      <c r="B73" s="5"/>
      <c r="C73" s="9"/>
      <c r="D73" s="10"/>
      <c r="E73" s="11"/>
    </row>
    <row r="74" spans="2:5" ht="12.75" customHeight="1" x14ac:dyDescent="0.2">
      <c r="B74" s="5"/>
      <c r="C74" s="9"/>
      <c r="D74" s="10"/>
      <c r="E74" s="11"/>
    </row>
    <row r="75" spans="2:5" ht="12.75" customHeight="1" x14ac:dyDescent="0.2">
      <c r="B75" s="5"/>
      <c r="C75" s="9"/>
      <c r="D75" s="10"/>
      <c r="E75" s="11"/>
    </row>
    <row r="76" spans="2:5" ht="12.75" customHeight="1" x14ac:dyDescent="0.2">
      <c r="B76" s="5"/>
      <c r="C76" s="9"/>
      <c r="D76" s="10"/>
      <c r="E76" s="11"/>
    </row>
    <row r="77" spans="2:5" ht="12.75" customHeight="1" x14ac:dyDescent="0.2">
      <c r="B77" s="5"/>
      <c r="C77" s="9"/>
      <c r="D77" s="10"/>
      <c r="E77" s="11"/>
    </row>
    <row r="78" spans="2:5" ht="12.75" customHeight="1" x14ac:dyDescent="0.2">
      <c r="B78" s="5"/>
      <c r="C78" s="9"/>
      <c r="D78" s="10"/>
      <c r="E78" s="11"/>
    </row>
    <row r="79" spans="2:5" ht="12.75" customHeight="1" x14ac:dyDescent="0.2">
      <c r="B79" s="5"/>
      <c r="C79" s="9"/>
      <c r="D79" s="10"/>
      <c r="E79" s="11"/>
    </row>
    <row r="80" spans="2:5" ht="12.75" customHeight="1" x14ac:dyDescent="0.2">
      <c r="B80" s="5"/>
      <c r="C80" s="9"/>
      <c r="D80" s="10"/>
      <c r="E80" s="11"/>
    </row>
    <row r="81" spans="2:5" ht="12.75" customHeight="1" x14ac:dyDescent="0.2">
      <c r="B81" s="5"/>
      <c r="C81" s="9"/>
      <c r="D81" s="10"/>
      <c r="E81" s="11"/>
    </row>
    <row r="82" spans="2:5" ht="12.75" customHeight="1" x14ac:dyDescent="0.2">
      <c r="B82" s="5"/>
      <c r="C82" s="9"/>
      <c r="D82" s="10"/>
      <c r="E82" s="11"/>
    </row>
    <row r="83" spans="2:5" ht="12.75" customHeight="1" x14ac:dyDescent="0.2">
      <c r="B83" s="5"/>
      <c r="C83" s="9"/>
      <c r="D83" s="10"/>
      <c r="E83" s="11"/>
    </row>
    <row r="84" spans="2:5" ht="12.75" customHeight="1" x14ac:dyDescent="0.2">
      <c r="B84" s="5"/>
      <c r="C84" s="9"/>
      <c r="D84" s="10"/>
      <c r="E84" s="11"/>
    </row>
    <row r="85" spans="2:5" ht="12.75" customHeight="1" x14ac:dyDescent="0.2">
      <c r="B85" s="5"/>
      <c r="C85" s="9"/>
      <c r="D85" s="10"/>
      <c r="E85" s="11"/>
    </row>
    <row r="86" spans="2:5" ht="12.75" customHeight="1" x14ac:dyDescent="0.2">
      <c r="B86" s="5"/>
      <c r="C86" s="68" t="s">
        <v>169</v>
      </c>
      <c r="D86" s="69"/>
      <c r="E86" s="67"/>
    </row>
    <row r="87" spans="2:5" ht="12.75" customHeight="1" x14ac:dyDescent="0.2">
      <c r="B87" s="5"/>
      <c r="C87" s="6" t="s">
        <v>117</v>
      </c>
      <c r="D87" s="7" t="s">
        <v>118</v>
      </c>
      <c r="E87" s="7" t="s">
        <v>7</v>
      </c>
    </row>
    <row r="88" spans="2:5" ht="12.75" customHeight="1" x14ac:dyDescent="0.2">
      <c r="B88" s="5"/>
      <c r="C88" s="9" t="s">
        <v>119</v>
      </c>
      <c r="D88" s="10" t="s">
        <v>170</v>
      </c>
      <c r="E88" s="11">
        <v>3</v>
      </c>
    </row>
    <row r="89" spans="2:5" ht="12.75" customHeight="1" x14ac:dyDescent="0.2">
      <c r="B89" s="5"/>
      <c r="C89" s="9" t="s">
        <v>128</v>
      </c>
      <c r="D89" s="10" t="s">
        <v>171</v>
      </c>
      <c r="E89" s="11">
        <v>4</v>
      </c>
    </row>
    <row r="90" spans="2:5" ht="12.75" customHeight="1" x14ac:dyDescent="0.2">
      <c r="B90" s="5"/>
      <c r="C90" s="9" t="s">
        <v>155</v>
      </c>
      <c r="D90" s="10" t="s">
        <v>172</v>
      </c>
      <c r="E90" s="11">
        <v>2</v>
      </c>
    </row>
    <row r="91" spans="2:5" ht="12.75" customHeight="1" x14ac:dyDescent="0.2">
      <c r="B91" s="5"/>
      <c r="C91" s="9" t="s">
        <v>158</v>
      </c>
      <c r="D91" s="10" t="s">
        <v>173</v>
      </c>
      <c r="E91" s="11">
        <v>3</v>
      </c>
    </row>
    <row r="92" spans="2:5" ht="12.75" customHeight="1" x14ac:dyDescent="0.2">
      <c r="B92" s="5"/>
      <c r="C92" s="9" t="s">
        <v>159</v>
      </c>
      <c r="D92" s="10" t="s">
        <v>174</v>
      </c>
      <c r="E92" s="11">
        <v>3</v>
      </c>
    </row>
    <row r="93" spans="2:5" ht="12.75" customHeight="1" x14ac:dyDescent="0.2">
      <c r="B93" s="5"/>
      <c r="C93" s="9" t="s">
        <v>158</v>
      </c>
      <c r="D93" s="10" t="s">
        <v>175</v>
      </c>
      <c r="E93" s="11">
        <v>3</v>
      </c>
    </row>
    <row r="94" spans="2:5" ht="12.75" customHeight="1" x14ac:dyDescent="0.2">
      <c r="B94" s="5"/>
      <c r="C94" s="9" t="s">
        <v>160</v>
      </c>
      <c r="D94" s="10" t="s">
        <v>176</v>
      </c>
      <c r="E94" s="11">
        <v>1</v>
      </c>
    </row>
    <row r="95" spans="2:5" ht="12.75" customHeight="1" x14ac:dyDescent="0.2">
      <c r="B95" s="5"/>
      <c r="C95" s="9" t="s">
        <v>161</v>
      </c>
      <c r="D95" s="10" t="s">
        <v>177</v>
      </c>
      <c r="E95" s="11">
        <v>1</v>
      </c>
    </row>
    <row r="96" spans="2:5" ht="12.75" customHeight="1" x14ac:dyDescent="0.2">
      <c r="B96" s="5"/>
      <c r="C96" s="9" t="s">
        <v>162</v>
      </c>
      <c r="D96" s="10" t="s">
        <v>178</v>
      </c>
      <c r="E96" s="11"/>
    </row>
    <row r="97" spans="2:5" ht="12.75" customHeight="1" x14ac:dyDescent="0.2">
      <c r="B97" s="5"/>
      <c r="C97" s="9" t="s">
        <v>179</v>
      </c>
      <c r="D97" s="10" t="s">
        <v>180</v>
      </c>
      <c r="E97" s="11">
        <v>177</v>
      </c>
    </row>
    <row r="98" spans="2:5" ht="12.75" customHeight="1" x14ac:dyDescent="0.2">
      <c r="B98" s="5"/>
      <c r="C98" s="9" t="s">
        <v>181</v>
      </c>
      <c r="D98" s="10" t="s">
        <v>182</v>
      </c>
      <c r="E98" s="11">
        <v>9</v>
      </c>
    </row>
    <row r="99" spans="2:5" ht="12.75" customHeight="1" x14ac:dyDescent="0.2">
      <c r="B99" s="5"/>
      <c r="C99" s="9" t="s">
        <v>183</v>
      </c>
      <c r="D99" s="10" t="s">
        <v>184</v>
      </c>
      <c r="E99" s="11">
        <v>6</v>
      </c>
    </row>
    <row r="100" spans="2:5" ht="12.75" customHeight="1" x14ac:dyDescent="0.2">
      <c r="B100" s="5"/>
      <c r="C100" s="9" t="s">
        <v>185</v>
      </c>
      <c r="D100" s="10" t="s">
        <v>186</v>
      </c>
      <c r="E100" s="11">
        <v>12</v>
      </c>
    </row>
    <row r="101" spans="2:5" ht="12.75" customHeight="1" x14ac:dyDescent="0.2">
      <c r="B101" s="5"/>
      <c r="C101" s="9" t="s">
        <v>187</v>
      </c>
      <c r="D101" s="10" t="s">
        <v>188</v>
      </c>
      <c r="E101" s="11">
        <v>11</v>
      </c>
    </row>
    <row r="102" spans="2:5" ht="12.75" customHeight="1" x14ac:dyDescent="0.2">
      <c r="B102" s="5"/>
      <c r="C102" s="9" t="s">
        <v>189</v>
      </c>
      <c r="D102" s="10" t="s">
        <v>190</v>
      </c>
      <c r="E102" s="11">
        <v>22</v>
      </c>
    </row>
    <row r="103" spans="2:5" ht="12.75" customHeight="1" x14ac:dyDescent="0.2">
      <c r="B103" s="5"/>
      <c r="C103" s="9" t="s">
        <v>191</v>
      </c>
      <c r="D103" s="10" t="s">
        <v>192</v>
      </c>
      <c r="E103" s="11">
        <v>130</v>
      </c>
    </row>
    <row r="104" spans="2:5" ht="12.75" customHeight="1" x14ac:dyDescent="0.2">
      <c r="B104" s="5"/>
      <c r="C104" s="9" t="s">
        <v>193</v>
      </c>
      <c r="D104" s="10" t="s">
        <v>194</v>
      </c>
      <c r="E104" s="11">
        <v>4</v>
      </c>
    </row>
    <row r="105" spans="2:5" ht="12.75" customHeight="1" x14ac:dyDescent="0.2">
      <c r="B105" s="5"/>
      <c r="C105" s="9" t="s">
        <v>195</v>
      </c>
      <c r="D105" s="10" t="s">
        <v>196</v>
      </c>
      <c r="E105" s="11">
        <v>9</v>
      </c>
    </row>
    <row r="106" spans="2:5" ht="12.75" customHeight="1" x14ac:dyDescent="0.2">
      <c r="B106" s="5"/>
      <c r="C106" s="9" t="s">
        <v>197</v>
      </c>
      <c r="D106" s="10" t="s">
        <v>192</v>
      </c>
      <c r="E106" s="11">
        <v>2</v>
      </c>
    </row>
    <row r="107" spans="2:5" ht="12.75" customHeight="1" x14ac:dyDescent="0.2">
      <c r="B107" s="5"/>
      <c r="C107" s="9" t="s">
        <v>198</v>
      </c>
      <c r="D107" s="10" t="s">
        <v>199</v>
      </c>
      <c r="E107" s="11">
        <v>3</v>
      </c>
    </row>
    <row r="108" spans="2:5" ht="12.75" customHeight="1" x14ac:dyDescent="0.2">
      <c r="B108" s="5"/>
      <c r="C108" s="9" t="s">
        <v>163</v>
      </c>
      <c r="D108" s="10" t="s">
        <v>200</v>
      </c>
      <c r="E108" s="11">
        <v>2</v>
      </c>
    </row>
    <row r="109" spans="2:5" ht="12.75" customHeight="1" x14ac:dyDescent="0.2">
      <c r="B109" s="5"/>
      <c r="C109" s="9" t="s">
        <v>165</v>
      </c>
      <c r="D109" s="10" t="s">
        <v>201</v>
      </c>
      <c r="E109" s="11">
        <v>5</v>
      </c>
    </row>
    <row r="110" spans="2:5" ht="12.75" customHeight="1" x14ac:dyDescent="0.2">
      <c r="B110" s="5"/>
      <c r="C110" s="9" t="s">
        <v>166</v>
      </c>
      <c r="D110" s="10" t="s">
        <v>202</v>
      </c>
      <c r="E110" s="11">
        <v>6</v>
      </c>
    </row>
    <row r="111" spans="2:5" ht="12.75" customHeight="1" x14ac:dyDescent="0.2">
      <c r="B111" s="5"/>
      <c r="C111" s="9"/>
      <c r="D111" s="10"/>
      <c r="E111" s="11"/>
    </row>
    <row r="112" spans="2:5" ht="12.75" customHeight="1" x14ac:dyDescent="0.2">
      <c r="B112" s="5"/>
      <c r="C112" s="9"/>
      <c r="D112" s="10"/>
      <c r="E112" s="11"/>
    </row>
    <row r="113" spans="2:5" ht="12.75" customHeight="1" x14ac:dyDescent="0.2">
      <c r="B113" s="5"/>
      <c r="C113" s="9"/>
      <c r="D113" s="10"/>
      <c r="E113" s="11"/>
    </row>
    <row r="114" spans="2:5" ht="12.75" customHeight="1" x14ac:dyDescent="0.2">
      <c r="B114" s="5"/>
      <c r="C114" s="9"/>
      <c r="D114" s="10"/>
      <c r="E114" s="11"/>
    </row>
    <row r="115" spans="2:5" ht="12.75" customHeight="1" x14ac:dyDescent="0.2">
      <c r="B115" s="5"/>
      <c r="C115" s="9"/>
      <c r="D115" s="10"/>
      <c r="E115" s="11"/>
    </row>
    <row r="116" spans="2:5" ht="12.75" customHeight="1" x14ac:dyDescent="0.2">
      <c r="B116" s="5"/>
      <c r="C116" s="9"/>
      <c r="D116" s="10"/>
      <c r="E116" s="11"/>
    </row>
    <row r="117" spans="2:5" ht="12.75" customHeight="1" x14ac:dyDescent="0.2">
      <c r="B117" s="5"/>
      <c r="C117" s="9"/>
      <c r="D117" s="10"/>
      <c r="E117" s="11"/>
    </row>
    <row r="118" spans="2:5" ht="12.75" customHeight="1" x14ac:dyDescent="0.2">
      <c r="B118" s="5"/>
      <c r="C118" s="9"/>
      <c r="D118" s="10"/>
      <c r="E118" s="11"/>
    </row>
    <row r="119" spans="2:5" ht="12.75" customHeight="1" x14ac:dyDescent="0.2">
      <c r="B119" s="5"/>
      <c r="C119" s="9"/>
      <c r="D119" s="10"/>
      <c r="E119" s="11"/>
    </row>
    <row r="120" spans="2:5" ht="12.75" customHeight="1" x14ac:dyDescent="0.2">
      <c r="B120" s="5"/>
      <c r="C120" s="9"/>
      <c r="D120" s="10"/>
      <c r="E120" s="11"/>
    </row>
    <row r="121" spans="2:5" ht="12.75" customHeight="1" x14ac:dyDescent="0.2">
      <c r="B121" s="5"/>
      <c r="C121" s="9"/>
      <c r="D121" s="10"/>
      <c r="E121" s="11"/>
    </row>
    <row r="122" spans="2:5" ht="12.75" customHeight="1" x14ac:dyDescent="0.2">
      <c r="B122" s="5"/>
      <c r="C122" s="9"/>
      <c r="D122" s="10"/>
      <c r="E122" s="11"/>
    </row>
    <row r="123" spans="2:5" ht="12.75" customHeight="1" x14ac:dyDescent="0.2">
      <c r="B123" s="5"/>
      <c r="C123" s="9"/>
      <c r="D123" s="10"/>
      <c r="E123" s="11"/>
    </row>
    <row r="124" spans="2:5" ht="12.75" customHeight="1" x14ac:dyDescent="0.2">
      <c r="B124" s="5"/>
      <c r="C124" s="9"/>
      <c r="D124" s="10"/>
      <c r="E124" s="11"/>
    </row>
    <row r="125" spans="2:5" ht="12.75" customHeight="1" x14ac:dyDescent="0.2">
      <c r="B125" s="5"/>
      <c r="C125" s="9"/>
      <c r="D125" s="10"/>
      <c r="E125" s="11"/>
    </row>
    <row r="126" spans="2:5" ht="12.75" customHeight="1" x14ac:dyDescent="0.2">
      <c r="B126" s="5"/>
      <c r="C126" s="9"/>
      <c r="D126" s="10"/>
      <c r="E126" s="11"/>
    </row>
    <row r="127" spans="2:5" ht="12.75" customHeight="1" x14ac:dyDescent="0.2">
      <c r="B127" s="13"/>
      <c r="C127" s="9"/>
      <c r="D127" s="10"/>
      <c r="E127" s="11"/>
    </row>
    <row r="128" spans="2:5" ht="12.75" customHeight="1" x14ac:dyDescent="0.2">
      <c r="B128" s="68" t="s">
        <v>169</v>
      </c>
      <c r="C128" s="69"/>
      <c r="D128" s="69"/>
      <c r="E128" s="67"/>
    </row>
    <row r="129" spans="2:5" ht="12.75" customHeight="1" x14ac:dyDescent="0.2">
      <c r="B129" s="68" t="s">
        <v>117</v>
      </c>
      <c r="C129" s="67"/>
      <c r="D129" s="7" t="s">
        <v>118</v>
      </c>
      <c r="E129" s="7" t="s">
        <v>7</v>
      </c>
    </row>
    <row r="130" spans="2:5" ht="12.75" customHeight="1" x14ac:dyDescent="0.2">
      <c r="B130" s="68"/>
      <c r="C130" s="67"/>
      <c r="D130" s="8"/>
      <c r="E130" s="7"/>
    </row>
    <row r="131" spans="2:5" ht="12.75" customHeight="1" x14ac:dyDescent="0.2">
      <c r="B131" s="66"/>
      <c r="C131" s="67"/>
      <c r="D131" s="10"/>
      <c r="E131" s="11"/>
    </row>
    <row r="132" spans="2:5" ht="12.75" customHeight="1" x14ac:dyDescent="0.2">
      <c r="B132" s="66"/>
      <c r="C132" s="67"/>
      <c r="D132" s="10"/>
      <c r="E132" s="11"/>
    </row>
    <row r="133" spans="2:5" ht="12.75" customHeight="1" x14ac:dyDescent="0.2">
      <c r="B133" s="66"/>
      <c r="C133" s="67"/>
      <c r="D133" s="10"/>
      <c r="E133" s="11"/>
    </row>
    <row r="134" spans="2:5" ht="12.75" customHeight="1" x14ac:dyDescent="0.2">
      <c r="B134" s="66"/>
      <c r="C134" s="67"/>
      <c r="D134" s="10"/>
      <c r="E134" s="11"/>
    </row>
    <row r="135" spans="2:5" ht="12.75" customHeight="1" x14ac:dyDescent="0.2">
      <c r="B135" s="66"/>
      <c r="C135" s="67"/>
      <c r="D135" s="10"/>
      <c r="E135" s="11"/>
    </row>
    <row r="136" spans="2:5" ht="12.75" customHeight="1" x14ac:dyDescent="0.2">
      <c r="B136" s="66"/>
      <c r="C136" s="67"/>
      <c r="D136" s="10"/>
      <c r="E136" s="11"/>
    </row>
    <row r="137" spans="2:5" ht="12.75" customHeight="1" x14ac:dyDescent="0.2">
      <c r="B137" s="66"/>
      <c r="C137" s="67"/>
      <c r="D137" s="10"/>
      <c r="E137" s="11"/>
    </row>
    <row r="138" spans="2:5" ht="12.75" customHeight="1" x14ac:dyDescent="0.2">
      <c r="B138" s="68"/>
      <c r="C138" s="67"/>
      <c r="D138" s="8"/>
      <c r="E138" s="11"/>
    </row>
    <row r="139" spans="2:5" ht="12.75" customHeight="1" x14ac:dyDescent="0.2">
      <c r="B139" s="66"/>
      <c r="C139" s="67"/>
      <c r="D139" s="10"/>
      <c r="E139" s="11"/>
    </row>
    <row r="140" spans="2:5" ht="12.75" customHeight="1" x14ac:dyDescent="0.2">
      <c r="B140" s="66"/>
      <c r="C140" s="67"/>
      <c r="D140" s="10"/>
      <c r="E140" s="11"/>
    </row>
    <row r="141" spans="2:5" ht="12.75" customHeight="1" x14ac:dyDescent="0.2">
      <c r="B141" s="66"/>
      <c r="C141" s="67"/>
      <c r="D141" s="10"/>
      <c r="E141" s="11"/>
    </row>
    <row r="142" spans="2:5" ht="12.75" customHeight="1" x14ac:dyDescent="0.2">
      <c r="B142" s="66"/>
      <c r="C142" s="67"/>
      <c r="D142" s="10"/>
      <c r="E142" s="11"/>
    </row>
    <row r="143" spans="2:5" ht="12.75" customHeight="1" x14ac:dyDescent="0.2">
      <c r="B143" s="66"/>
      <c r="C143" s="67"/>
      <c r="D143" s="10"/>
      <c r="E143" s="11"/>
    </row>
    <row r="144" spans="2:5" ht="12.75" customHeight="1" x14ac:dyDescent="0.2">
      <c r="B144" s="66"/>
      <c r="C144" s="67"/>
      <c r="D144" s="10"/>
      <c r="E144" s="11"/>
    </row>
    <row r="145" spans="2:5" ht="12.75" customHeight="1" x14ac:dyDescent="0.2">
      <c r="B145" s="66"/>
      <c r="C145" s="67"/>
      <c r="D145" s="10"/>
      <c r="E145" s="11"/>
    </row>
    <row r="146" spans="2:5" ht="12.75" customHeight="1" x14ac:dyDescent="0.2">
      <c r="B146" s="66"/>
      <c r="C146" s="67"/>
      <c r="D146" s="10"/>
      <c r="E146" s="11"/>
    </row>
    <row r="147" spans="2:5" ht="12.75" customHeight="1" x14ac:dyDescent="0.2">
      <c r="B147" s="66"/>
      <c r="C147" s="67"/>
      <c r="D147" s="10"/>
      <c r="E147" s="11"/>
    </row>
    <row r="148" spans="2:5" ht="12.75" customHeight="1" x14ac:dyDescent="0.2">
      <c r="B148" s="66"/>
      <c r="C148" s="67"/>
      <c r="D148" s="10"/>
      <c r="E148" s="11"/>
    </row>
    <row r="149" spans="2:5" ht="12.75" customHeight="1" x14ac:dyDescent="0.2">
      <c r="B149" s="66"/>
      <c r="C149" s="67"/>
      <c r="D149" s="10"/>
      <c r="E149" s="11"/>
    </row>
    <row r="150" spans="2:5" ht="12.75" customHeight="1" x14ac:dyDescent="0.2">
      <c r="B150" s="66"/>
      <c r="C150" s="67"/>
      <c r="D150" s="10"/>
      <c r="E150" s="11"/>
    </row>
    <row r="151" spans="2:5" ht="12.75" customHeight="1" x14ac:dyDescent="0.2">
      <c r="B151" s="66"/>
      <c r="C151" s="67"/>
      <c r="D151" s="10"/>
      <c r="E151" s="11"/>
    </row>
    <row r="152" spans="2:5" ht="12.75" customHeight="1" x14ac:dyDescent="0.2">
      <c r="B152" s="66"/>
      <c r="C152" s="67"/>
      <c r="D152" s="10"/>
      <c r="E152" s="11"/>
    </row>
    <row r="153" spans="2:5" ht="12.75" customHeight="1" x14ac:dyDescent="0.2">
      <c r="B153" s="66"/>
      <c r="C153" s="67"/>
      <c r="D153" s="10"/>
      <c r="E153" s="11"/>
    </row>
    <row r="154" spans="2:5" ht="12.75" customHeight="1" x14ac:dyDescent="0.2">
      <c r="B154" s="66"/>
      <c r="C154" s="67"/>
      <c r="D154" s="10"/>
      <c r="E154" s="11"/>
    </row>
    <row r="155" spans="2:5" ht="12.75" customHeight="1" x14ac:dyDescent="0.2">
      <c r="B155" s="66"/>
      <c r="C155" s="67"/>
      <c r="D155" s="10"/>
      <c r="E155" s="11"/>
    </row>
    <row r="156" spans="2:5" ht="12.75" customHeight="1" x14ac:dyDescent="0.2">
      <c r="B156" s="66"/>
      <c r="C156" s="67"/>
      <c r="D156" s="10"/>
      <c r="E156" s="11"/>
    </row>
    <row r="157" spans="2:5" ht="12.75" customHeight="1" x14ac:dyDescent="0.2">
      <c r="B157" s="66"/>
      <c r="C157" s="67"/>
      <c r="D157" s="10"/>
      <c r="E157" s="11"/>
    </row>
    <row r="158" spans="2:5" ht="12.75" customHeight="1" x14ac:dyDescent="0.2">
      <c r="B158" s="66"/>
      <c r="C158" s="67"/>
      <c r="D158" s="10"/>
      <c r="E158" s="11"/>
    </row>
    <row r="159" spans="2:5" ht="12.75" customHeight="1" x14ac:dyDescent="0.2">
      <c r="B159" s="66"/>
      <c r="C159" s="67"/>
      <c r="D159" s="10"/>
      <c r="E159" s="11"/>
    </row>
    <row r="160" spans="2:5" ht="12.75" customHeight="1" x14ac:dyDescent="0.2">
      <c r="B160" s="66"/>
      <c r="C160" s="67"/>
      <c r="D160" s="10"/>
      <c r="E160" s="11"/>
    </row>
    <row r="161" spans="2:5" ht="12.75" customHeight="1" x14ac:dyDescent="0.2">
      <c r="B161" s="66"/>
      <c r="C161" s="67"/>
      <c r="D161" s="10"/>
      <c r="E161" s="11"/>
    </row>
    <row r="162" spans="2:5" ht="12.75" customHeight="1" x14ac:dyDescent="0.2">
      <c r="B162" s="66"/>
      <c r="C162" s="67"/>
      <c r="D162" s="10"/>
      <c r="E162" s="11"/>
    </row>
    <row r="163" spans="2:5" ht="12.75" customHeight="1" x14ac:dyDescent="0.2">
      <c r="B163" s="66"/>
      <c r="C163" s="67"/>
      <c r="D163" s="10"/>
      <c r="E163" s="11"/>
    </row>
    <row r="164" spans="2:5" ht="12.75" customHeight="1" x14ac:dyDescent="0.2">
      <c r="B164" s="66"/>
      <c r="C164" s="67"/>
      <c r="D164" s="10"/>
      <c r="E164" s="11"/>
    </row>
    <row r="165" spans="2:5" ht="12.75" customHeight="1" x14ac:dyDescent="0.2">
      <c r="B165" s="66"/>
      <c r="C165" s="67"/>
      <c r="D165" s="10"/>
      <c r="E165" s="11"/>
    </row>
    <row r="166" spans="2:5" ht="12.75" customHeight="1" x14ac:dyDescent="0.2">
      <c r="B166" s="66"/>
      <c r="C166" s="67"/>
      <c r="D166" s="10"/>
      <c r="E166" s="11"/>
    </row>
    <row r="167" spans="2:5" ht="12.75" customHeight="1" x14ac:dyDescent="0.2">
      <c r="B167" s="66"/>
      <c r="C167" s="67"/>
      <c r="D167" s="10"/>
      <c r="E167" s="11"/>
    </row>
    <row r="168" spans="2:5" ht="12.75" customHeight="1" x14ac:dyDescent="0.2">
      <c r="B168" s="66"/>
      <c r="C168" s="67"/>
      <c r="D168" s="10"/>
      <c r="E168" s="11"/>
    </row>
    <row r="169" spans="2:5" ht="12.75" customHeight="1" x14ac:dyDescent="0.2">
      <c r="B169" s="66"/>
      <c r="C169" s="67"/>
      <c r="D169" s="10"/>
      <c r="E169" s="11"/>
    </row>
    <row r="170" spans="2:5" ht="12.75" customHeight="1" x14ac:dyDescent="0.2">
      <c r="B170" s="68" t="s">
        <v>116</v>
      </c>
      <c r="C170" s="69"/>
      <c r="D170" s="69"/>
      <c r="E170" s="67"/>
    </row>
    <row r="171" spans="2:5" ht="12.75" customHeight="1" x14ac:dyDescent="0.2">
      <c r="B171" s="68" t="s">
        <v>117</v>
      </c>
      <c r="C171" s="67"/>
      <c r="D171" s="7" t="s">
        <v>118</v>
      </c>
      <c r="E171" s="7" t="s">
        <v>7</v>
      </c>
    </row>
    <row r="172" spans="2:5" ht="12.75" customHeight="1" x14ac:dyDescent="0.2">
      <c r="B172" s="68"/>
      <c r="C172" s="67"/>
      <c r="D172" s="8"/>
      <c r="E172" s="7"/>
    </row>
    <row r="173" spans="2:5" ht="12.75" customHeight="1" x14ac:dyDescent="0.2">
      <c r="B173" s="66"/>
      <c r="C173" s="67"/>
      <c r="D173" s="10"/>
      <c r="E173" s="11"/>
    </row>
    <row r="174" spans="2:5" ht="12.75" customHeight="1" x14ac:dyDescent="0.2">
      <c r="B174" s="66"/>
      <c r="C174" s="67"/>
      <c r="D174" s="10"/>
      <c r="E174" s="11"/>
    </row>
    <row r="175" spans="2:5" ht="12.75" customHeight="1" x14ac:dyDescent="0.2">
      <c r="B175" s="66"/>
      <c r="C175" s="67"/>
      <c r="D175" s="10"/>
      <c r="E175" s="11"/>
    </row>
    <row r="176" spans="2:5" ht="12.75" customHeight="1" x14ac:dyDescent="0.2">
      <c r="B176" s="66"/>
      <c r="C176" s="67"/>
      <c r="D176" s="10"/>
      <c r="E176" s="11"/>
    </row>
    <row r="177" spans="2:5" ht="12.75" customHeight="1" x14ac:dyDescent="0.2">
      <c r="B177" s="66"/>
      <c r="C177" s="67"/>
      <c r="D177" s="10"/>
      <c r="E177" s="11"/>
    </row>
    <row r="178" spans="2:5" ht="12.75" customHeight="1" x14ac:dyDescent="0.2">
      <c r="B178" s="66"/>
      <c r="C178" s="67"/>
      <c r="D178" s="10"/>
      <c r="E178" s="11"/>
    </row>
    <row r="179" spans="2:5" ht="12.75" customHeight="1" x14ac:dyDescent="0.2">
      <c r="B179" s="66"/>
      <c r="C179" s="67"/>
      <c r="D179" s="10"/>
      <c r="E179" s="11"/>
    </row>
    <row r="180" spans="2:5" ht="12.75" customHeight="1" x14ac:dyDescent="0.2">
      <c r="B180" s="68"/>
      <c r="C180" s="67"/>
      <c r="D180" s="8"/>
      <c r="E180" s="11"/>
    </row>
    <row r="181" spans="2:5" ht="12.75" customHeight="1" x14ac:dyDescent="0.2">
      <c r="B181" s="66"/>
      <c r="C181" s="67"/>
      <c r="D181" s="10"/>
      <c r="E181" s="11"/>
    </row>
    <row r="182" spans="2:5" ht="12.75" customHeight="1" x14ac:dyDescent="0.2">
      <c r="B182" s="66"/>
      <c r="C182" s="67"/>
      <c r="D182" s="10"/>
      <c r="E182" s="11"/>
    </row>
    <row r="183" spans="2:5" ht="12.75" customHeight="1" x14ac:dyDescent="0.2">
      <c r="B183" s="66"/>
      <c r="C183" s="67"/>
      <c r="D183" s="10"/>
      <c r="E183" s="11"/>
    </row>
    <row r="184" spans="2:5" ht="12.75" customHeight="1" x14ac:dyDescent="0.2">
      <c r="B184" s="66"/>
      <c r="C184" s="67"/>
      <c r="D184" s="10"/>
      <c r="E184" s="11"/>
    </row>
    <row r="185" spans="2:5" ht="12.75" customHeight="1" x14ac:dyDescent="0.2">
      <c r="B185" s="66"/>
      <c r="C185" s="67"/>
      <c r="D185" s="10"/>
      <c r="E185" s="11"/>
    </row>
    <row r="186" spans="2:5" ht="12.75" customHeight="1" x14ac:dyDescent="0.2">
      <c r="B186" s="66"/>
      <c r="C186" s="67"/>
      <c r="D186" s="10"/>
      <c r="E186" s="11"/>
    </row>
    <row r="187" spans="2:5" ht="12.75" customHeight="1" x14ac:dyDescent="0.2">
      <c r="B187" s="66"/>
      <c r="C187" s="67"/>
      <c r="D187" s="10"/>
      <c r="E187" s="11"/>
    </row>
    <row r="188" spans="2:5" ht="12.75" customHeight="1" x14ac:dyDescent="0.2">
      <c r="B188" s="66"/>
      <c r="C188" s="67"/>
      <c r="D188" s="10"/>
      <c r="E188" s="11"/>
    </row>
    <row r="189" spans="2:5" ht="12.75" customHeight="1" x14ac:dyDescent="0.2">
      <c r="B189" s="66"/>
      <c r="C189" s="67"/>
      <c r="D189" s="10"/>
      <c r="E189" s="11"/>
    </row>
    <row r="190" spans="2:5" ht="12.75" customHeight="1" x14ac:dyDescent="0.2">
      <c r="B190" s="66"/>
      <c r="C190" s="67"/>
      <c r="D190" s="10"/>
      <c r="E190" s="11"/>
    </row>
    <row r="191" spans="2:5" ht="12.75" customHeight="1" x14ac:dyDescent="0.2">
      <c r="B191" s="66"/>
      <c r="C191" s="67"/>
      <c r="D191" s="10"/>
      <c r="E191" s="11"/>
    </row>
    <row r="192" spans="2:5" ht="12.75" customHeight="1" x14ac:dyDescent="0.2">
      <c r="B192" s="66"/>
      <c r="C192" s="67"/>
      <c r="D192" s="10"/>
      <c r="E192" s="11"/>
    </row>
    <row r="193" spans="2:5" ht="12.75" customHeight="1" x14ac:dyDescent="0.2">
      <c r="B193" s="66"/>
      <c r="C193" s="67"/>
      <c r="D193" s="10"/>
      <c r="E193" s="11"/>
    </row>
    <row r="194" spans="2:5" ht="12.75" customHeight="1" x14ac:dyDescent="0.2">
      <c r="B194" s="66"/>
      <c r="C194" s="67"/>
      <c r="D194" s="10"/>
      <c r="E194" s="11"/>
    </row>
    <row r="195" spans="2:5" ht="12.75" customHeight="1" x14ac:dyDescent="0.2">
      <c r="B195" s="66"/>
      <c r="C195" s="67"/>
      <c r="D195" s="10"/>
      <c r="E195" s="11"/>
    </row>
    <row r="196" spans="2:5" ht="12.75" customHeight="1" x14ac:dyDescent="0.2">
      <c r="B196" s="66"/>
      <c r="C196" s="67"/>
      <c r="D196" s="10"/>
      <c r="E196" s="11"/>
    </row>
    <row r="197" spans="2:5" ht="12.75" customHeight="1" x14ac:dyDescent="0.2">
      <c r="B197" s="66"/>
      <c r="C197" s="67"/>
      <c r="D197" s="10"/>
      <c r="E197" s="11"/>
    </row>
    <row r="198" spans="2:5" ht="12.75" customHeight="1" x14ac:dyDescent="0.2">
      <c r="B198" s="66"/>
      <c r="C198" s="67"/>
      <c r="D198" s="10"/>
      <c r="E198" s="11"/>
    </row>
    <row r="199" spans="2:5" ht="12.75" customHeight="1" x14ac:dyDescent="0.2">
      <c r="B199" s="66"/>
      <c r="C199" s="67"/>
      <c r="D199" s="10"/>
      <c r="E199" s="11"/>
    </row>
    <row r="200" spans="2:5" ht="12.75" customHeight="1" x14ac:dyDescent="0.2">
      <c r="B200" s="66"/>
      <c r="C200" s="67"/>
      <c r="D200" s="10"/>
      <c r="E200" s="11"/>
    </row>
    <row r="201" spans="2:5" ht="12.75" customHeight="1" x14ac:dyDescent="0.2">
      <c r="B201" s="66"/>
      <c r="C201" s="67"/>
      <c r="D201" s="10"/>
      <c r="E201" s="11"/>
    </row>
    <row r="202" spans="2:5" ht="12.75" customHeight="1" x14ac:dyDescent="0.2">
      <c r="B202" s="66"/>
      <c r="C202" s="67"/>
      <c r="D202" s="10"/>
      <c r="E202" s="11"/>
    </row>
    <row r="203" spans="2:5" ht="12.75" customHeight="1" x14ac:dyDescent="0.2">
      <c r="B203" s="66"/>
      <c r="C203" s="67"/>
      <c r="D203" s="10"/>
      <c r="E203" s="11"/>
    </row>
    <row r="204" spans="2:5" ht="12.75" customHeight="1" x14ac:dyDescent="0.2">
      <c r="B204" s="66"/>
      <c r="C204" s="67"/>
      <c r="D204" s="10"/>
      <c r="E204" s="11"/>
    </row>
    <row r="205" spans="2:5" ht="12.75" customHeight="1" x14ac:dyDescent="0.2">
      <c r="B205" s="66"/>
      <c r="C205" s="67"/>
      <c r="D205" s="10"/>
      <c r="E205" s="11"/>
    </row>
    <row r="206" spans="2:5" ht="12.75" customHeight="1" x14ac:dyDescent="0.2">
      <c r="B206" s="66"/>
      <c r="C206" s="67"/>
      <c r="D206" s="10"/>
      <c r="E206" s="11"/>
    </row>
    <row r="207" spans="2:5" ht="12.75" customHeight="1" x14ac:dyDescent="0.2">
      <c r="B207" s="66"/>
      <c r="C207" s="67"/>
      <c r="D207" s="10"/>
      <c r="E207" s="11"/>
    </row>
    <row r="208" spans="2:5" ht="12.75" customHeight="1" x14ac:dyDescent="0.2">
      <c r="B208" s="66"/>
      <c r="C208" s="67"/>
      <c r="D208" s="10"/>
      <c r="E208" s="11"/>
    </row>
    <row r="209" spans="2:5" ht="12.75" customHeight="1" x14ac:dyDescent="0.2">
      <c r="B209" s="66"/>
      <c r="C209" s="67"/>
      <c r="D209" s="10"/>
      <c r="E209" s="11"/>
    </row>
    <row r="210" spans="2:5" ht="12.75" customHeight="1" x14ac:dyDescent="0.2">
      <c r="B210" s="66"/>
      <c r="C210" s="67"/>
      <c r="D210" s="10"/>
      <c r="E210" s="11"/>
    </row>
    <row r="211" spans="2:5" ht="12.75" customHeight="1" x14ac:dyDescent="0.2">
      <c r="B211" s="66"/>
      <c r="C211" s="67"/>
      <c r="D211" s="10"/>
      <c r="E211" s="11"/>
    </row>
    <row r="212" spans="2:5" ht="12.75" customHeight="1" x14ac:dyDescent="0.2">
      <c r="B212" s="5"/>
      <c r="C212" s="5"/>
      <c r="D212" s="5"/>
      <c r="E212" s="5"/>
    </row>
    <row r="213" spans="2:5" ht="12.75" customHeight="1" x14ac:dyDescent="0.2">
      <c r="B213" s="14"/>
    </row>
    <row r="214" spans="2:5" ht="12.75" customHeight="1" x14ac:dyDescent="0.2"/>
    <row r="215" spans="2:5" ht="12.75" customHeight="1" x14ac:dyDescent="0.2"/>
    <row r="216" spans="2:5" ht="12.75" customHeight="1" x14ac:dyDescent="0.2"/>
    <row r="217" spans="2:5" ht="12.75" customHeight="1" x14ac:dyDescent="0.2"/>
    <row r="218" spans="2:5" ht="12.75" customHeight="1" x14ac:dyDescent="0.2"/>
    <row r="219" spans="2:5" ht="12.75" customHeight="1" x14ac:dyDescent="0.2"/>
    <row r="220" spans="2:5" ht="12.75" customHeight="1" x14ac:dyDescent="0.2"/>
    <row r="221" spans="2:5" ht="12.75" customHeight="1" x14ac:dyDescent="0.2"/>
    <row r="222" spans="2:5" ht="12.75" customHeight="1" x14ac:dyDescent="0.2"/>
    <row r="223" spans="2:5" ht="12.75" customHeight="1" x14ac:dyDescent="0.2"/>
    <row r="224" spans="2:5"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87">
    <mergeCell ref="B170:E170"/>
    <mergeCell ref="B171:C171"/>
    <mergeCell ref="B172:C172"/>
    <mergeCell ref="B173:C173"/>
    <mergeCell ref="B165:C165"/>
    <mergeCell ref="B166:C166"/>
    <mergeCell ref="B167:C167"/>
    <mergeCell ref="B168:C168"/>
    <mergeCell ref="B169:C169"/>
    <mergeCell ref="B160:C160"/>
    <mergeCell ref="B161:C161"/>
    <mergeCell ref="B162:C162"/>
    <mergeCell ref="B163:C163"/>
    <mergeCell ref="B164:C164"/>
    <mergeCell ref="B155:C155"/>
    <mergeCell ref="B156:C156"/>
    <mergeCell ref="B157:C157"/>
    <mergeCell ref="B158:C158"/>
    <mergeCell ref="B159:C159"/>
    <mergeCell ref="B150:C150"/>
    <mergeCell ref="B151:C151"/>
    <mergeCell ref="B152:C152"/>
    <mergeCell ref="B153:C153"/>
    <mergeCell ref="B154:C154"/>
    <mergeCell ref="B145:C145"/>
    <mergeCell ref="B146:C146"/>
    <mergeCell ref="B147:C147"/>
    <mergeCell ref="B148:C148"/>
    <mergeCell ref="B149:C149"/>
    <mergeCell ref="B140:C140"/>
    <mergeCell ref="B141:C141"/>
    <mergeCell ref="B142:C142"/>
    <mergeCell ref="B143:C143"/>
    <mergeCell ref="B144:C144"/>
    <mergeCell ref="B135:C135"/>
    <mergeCell ref="B136:C136"/>
    <mergeCell ref="B137:C137"/>
    <mergeCell ref="B138:C138"/>
    <mergeCell ref="B139:C139"/>
    <mergeCell ref="B130:C130"/>
    <mergeCell ref="B131:C131"/>
    <mergeCell ref="B132:C132"/>
    <mergeCell ref="B133:C133"/>
    <mergeCell ref="B134:C134"/>
    <mergeCell ref="C2:E2"/>
    <mergeCell ref="C44:E44"/>
    <mergeCell ref="C86:E86"/>
    <mergeCell ref="B128:E128"/>
    <mergeCell ref="B129:C129"/>
    <mergeCell ref="B211:C211"/>
    <mergeCell ref="B202:C202"/>
    <mergeCell ref="B203:C203"/>
    <mergeCell ref="B204:C204"/>
    <mergeCell ref="B205:C205"/>
    <mergeCell ref="B206:C206"/>
    <mergeCell ref="B207:C207"/>
    <mergeCell ref="B208:C208"/>
    <mergeCell ref="B199:C199"/>
    <mergeCell ref="B200:C200"/>
    <mergeCell ref="B201:C201"/>
    <mergeCell ref="B209:C209"/>
    <mergeCell ref="B210:C210"/>
    <mergeCell ref="B194:C194"/>
    <mergeCell ref="B195:C195"/>
    <mergeCell ref="B196:C196"/>
    <mergeCell ref="B197:C197"/>
    <mergeCell ref="B198:C198"/>
    <mergeCell ref="B189:C189"/>
    <mergeCell ref="B190:C190"/>
    <mergeCell ref="B191:C191"/>
    <mergeCell ref="B192:C192"/>
    <mergeCell ref="B193:C193"/>
    <mergeCell ref="B184:C184"/>
    <mergeCell ref="B185:C185"/>
    <mergeCell ref="B186:C186"/>
    <mergeCell ref="B187:C187"/>
    <mergeCell ref="B188:C188"/>
    <mergeCell ref="B179:C179"/>
    <mergeCell ref="B180:C180"/>
    <mergeCell ref="B181:C181"/>
    <mergeCell ref="B182:C182"/>
    <mergeCell ref="B183:C183"/>
    <mergeCell ref="B174:C174"/>
    <mergeCell ref="B175:C175"/>
    <mergeCell ref="B176:C176"/>
    <mergeCell ref="B177:C177"/>
    <mergeCell ref="B178:C178"/>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Resumen</vt:lpstr>
      <vt:lpstr>Portatiles</vt:lpstr>
      <vt:lpstr>Kardex</vt:lpstr>
      <vt:lpstr>Hoja5</vt:lpstr>
      <vt:lpstr>Hoja1</vt:lpstr>
      <vt:lpstr>Hoja3</vt:lpstr>
      <vt:lpstr>Portatiles!Área_de_impresión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Romero</dc:creator>
  <cp:lastModifiedBy>JOSE DAVID ROMERO CUERVO</cp:lastModifiedBy>
  <dcterms:created xsi:type="dcterms:W3CDTF">2025-10-30T03:04:25Z</dcterms:created>
  <dcterms:modified xsi:type="dcterms:W3CDTF">2026-04-13T17:53:41Z</dcterms:modified>
</cp:coreProperties>
</file>