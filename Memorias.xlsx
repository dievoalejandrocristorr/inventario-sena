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r\OneDrive\Escritorio\Base\sena\"/>
    </mc:Choice>
  </mc:AlternateContent>
  <xr:revisionPtr revIDLastSave="0" documentId="13_ncr:1_{9F3F0F8A-5383-485E-A031-D720670AC548}" xr6:coauthVersionLast="47" xr6:coauthVersionMax="47" xr10:uidLastSave="{00000000-0000-0000-0000-000000000000}"/>
  <bookViews>
    <workbookView xWindow="-120" yWindow="-120" windowWidth="29040" windowHeight="15720" activeTab="4" xr2:uid="{A0E2654B-1444-4037-B1A4-DA3A31D6725D}"/>
  </bookViews>
  <sheets>
    <sheet name="DBB" sheetId="1" r:id="rId1"/>
    <sheet name="PB" sheetId="3" r:id="rId2"/>
    <sheet name="PTA" sheetId="4" r:id="rId3"/>
    <sheet name="DO" sheetId="5" r:id="rId4"/>
    <sheet name="Material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H18" i="2"/>
  <c r="H19" i="2"/>
  <c r="H16" i="2"/>
  <c r="I16" i="2" s="1"/>
  <c r="H15" i="2"/>
  <c r="I15" i="2" s="1"/>
  <c r="H31" i="5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4" i="2"/>
  <c r="I4" i="2" s="1"/>
  <c r="I31" i="5"/>
  <c r="G31" i="5"/>
  <c r="F31" i="5"/>
  <c r="AA56" i="4"/>
  <c r="AB33" i="4"/>
  <c r="AA33" i="4"/>
  <c r="Z33" i="4"/>
  <c r="Y33" i="4"/>
  <c r="X33" i="4"/>
  <c r="W33" i="4"/>
  <c r="H33" i="4"/>
  <c r="F33" i="4"/>
  <c r="G33" i="4"/>
  <c r="K33" i="4" s="1"/>
  <c r="R34" i="3"/>
  <c r="S34" i="3"/>
  <c r="T34" i="3"/>
  <c r="U34" i="3"/>
  <c r="U33" i="3"/>
  <c r="T33" i="3"/>
  <c r="S33" i="3"/>
  <c r="R33" i="3"/>
  <c r="R56" i="3" s="1"/>
  <c r="Q34" i="3"/>
  <c r="Q33" i="3"/>
  <c r="F34" i="3"/>
  <c r="H34" i="3" s="1"/>
  <c r="O34" i="3" s="1"/>
  <c r="G34" i="3"/>
  <c r="M34" i="3" s="1"/>
  <c r="F33" i="3"/>
  <c r="E33" i="3"/>
  <c r="G33" i="3" s="1"/>
  <c r="M33" i="3" s="1"/>
  <c r="S56" i="3" s="1"/>
  <c r="U41" i="1"/>
  <c r="T41" i="1"/>
  <c r="R41" i="1"/>
  <c r="Q41" i="1"/>
  <c r="S41" i="1" s="1"/>
  <c r="O41" i="1"/>
  <c r="W41" i="1" s="1"/>
  <c r="N41" i="1"/>
  <c r="P41" i="1" s="1"/>
  <c r="X41" i="1" s="1"/>
  <c r="E41" i="1"/>
  <c r="G41" i="1"/>
  <c r="F41" i="1"/>
  <c r="O40" i="1"/>
  <c r="P40" i="1" s="1"/>
  <c r="N40" i="1"/>
  <c r="J40" i="1"/>
  <c r="U40" i="1"/>
  <c r="T40" i="1"/>
  <c r="R40" i="1"/>
  <c r="E40" i="1"/>
  <c r="G40" i="1"/>
  <c r="F40" i="1"/>
  <c r="N39" i="1"/>
  <c r="O39" i="1"/>
  <c r="P39" i="1"/>
  <c r="Q39" i="1"/>
  <c r="R39" i="1"/>
  <c r="S39" i="1"/>
  <c r="T39" i="1"/>
  <c r="U39" i="1"/>
  <c r="V39" i="1"/>
  <c r="W39" i="1"/>
  <c r="X39" i="1"/>
  <c r="J39" i="1"/>
  <c r="K39" i="1"/>
  <c r="E39" i="1"/>
  <c r="G39" i="1"/>
  <c r="F39" i="1"/>
  <c r="H26" i="2" l="1"/>
  <c r="H27" i="2" s="1"/>
  <c r="H17" i="2"/>
  <c r="S33" i="4"/>
  <c r="J33" i="4"/>
  <c r="U33" i="4" s="1"/>
  <c r="L33" i="4"/>
  <c r="W56" i="4"/>
  <c r="X56" i="4"/>
  <c r="R33" i="4"/>
  <c r="P34" i="3"/>
  <c r="H33" i="3"/>
  <c r="P33" i="3" s="1"/>
  <c r="V41" i="1"/>
  <c r="W40" i="1"/>
  <c r="Q40" i="1"/>
  <c r="S40" i="1" s="1"/>
  <c r="X40" i="1" s="1"/>
  <c r="I17" i="2" l="1"/>
  <c r="I54" i="5"/>
  <c r="H14" i="2" s="1"/>
  <c r="T33" i="4"/>
  <c r="N33" i="4"/>
  <c r="P33" i="4" s="1"/>
  <c r="V33" i="4"/>
  <c r="Z56" i="4" s="1"/>
  <c r="O33" i="3"/>
  <c r="V40" i="1"/>
  <c r="I14" i="2" l="1"/>
  <c r="AB56" i="4"/>
  <c r="Y56" i="4"/>
  <c r="U56" i="3"/>
  <c r="T56" i="3"/>
  <c r="U34" i="1" l="1"/>
  <c r="U35" i="1"/>
  <c r="U36" i="1"/>
  <c r="U37" i="1"/>
  <c r="U38" i="1"/>
  <c r="U33" i="1"/>
  <c r="T34" i="1"/>
  <c r="T35" i="1"/>
  <c r="T36" i="1"/>
  <c r="T37" i="1"/>
  <c r="T38" i="1"/>
  <c r="T33" i="1"/>
  <c r="O34" i="1"/>
  <c r="O35" i="1"/>
  <c r="W35" i="1" s="1"/>
  <c r="O36" i="1"/>
  <c r="O37" i="1"/>
  <c r="O38" i="1"/>
  <c r="O33" i="1"/>
  <c r="N34" i="1"/>
  <c r="N35" i="1"/>
  <c r="N36" i="1"/>
  <c r="N37" i="1"/>
  <c r="N38" i="1"/>
  <c r="N33" i="1"/>
  <c r="K34" i="1"/>
  <c r="K35" i="1"/>
  <c r="Q35" i="1" s="1"/>
  <c r="K36" i="1"/>
  <c r="K37" i="1"/>
  <c r="K38" i="1"/>
  <c r="K33" i="1"/>
  <c r="F34" i="1"/>
  <c r="J34" i="1" s="1"/>
  <c r="R34" i="1" s="1"/>
  <c r="F35" i="1"/>
  <c r="J35" i="1" s="1"/>
  <c r="R35" i="1" s="1"/>
  <c r="F36" i="1"/>
  <c r="J36" i="1" s="1"/>
  <c r="R36" i="1" s="1"/>
  <c r="F37" i="1"/>
  <c r="J37" i="1" s="1"/>
  <c r="R37" i="1" s="1"/>
  <c r="F38" i="1"/>
  <c r="J38" i="1" s="1"/>
  <c r="R38" i="1" s="1"/>
  <c r="E34" i="1"/>
  <c r="G34" i="1" s="1"/>
  <c r="E35" i="1"/>
  <c r="G35" i="1" s="1"/>
  <c r="E36" i="1"/>
  <c r="G36" i="1" s="1"/>
  <c r="E37" i="1"/>
  <c r="G37" i="1" s="1"/>
  <c r="E38" i="1"/>
  <c r="G38" i="1" s="1"/>
  <c r="E33" i="1"/>
  <c r="G33" i="1" s="1"/>
  <c r="F33" i="1"/>
  <c r="J33" i="1" s="1"/>
  <c r="R33" i="1" s="1"/>
  <c r="U56" i="1" l="1"/>
  <c r="T56" i="1"/>
  <c r="W37" i="1"/>
  <c r="W33" i="1"/>
  <c r="Q33" i="1"/>
  <c r="S33" i="1" s="1"/>
  <c r="P35" i="1"/>
  <c r="P38" i="1"/>
  <c r="P36" i="1"/>
  <c r="W34" i="1"/>
  <c r="P34" i="1"/>
  <c r="W38" i="1"/>
  <c r="Q38" i="1"/>
  <c r="V38" i="1" s="1"/>
  <c r="Q37" i="1"/>
  <c r="S37" i="1" s="1"/>
  <c r="Q36" i="1"/>
  <c r="S36" i="1" s="1"/>
  <c r="W36" i="1"/>
  <c r="Q34" i="1"/>
  <c r="V34" i="1" s="1"/>
  <c r="P37" i="1"/>
  <c r="V33" i="1"/>
  <c r="V35" i="1"/>
  <c r="S35" i="1"/>
  <c r="P33" i="1"/>
  <c r="S38" i="1" l="1"/>
  <c r="W56" i="1"/>
  <c r="X36" i="1"/>
  <c r="X37" i="1"/>
  <c r="X38" i="1"/>
  <c r="X33" i="1"/>
  <c r="V36" i="1"/>
  <c r="V56" i="1" s="1"/>
  <c r="V37" i="1"/>
  <c r="X35" i="1"/>
  <c r="S34" i="1"/>
  <c r="X34" i="1" s="1"/>
  <c r="X56" i="1" l="1"/>
</calcChain>
</file>

<file path=xl/sharedStrings.xml><?xml version="1.0" encoding="utf-8"?>
<sst xmlns="http://schemas.openxmlformats.org/spreadsheetml/2006/main" count="245" uniqueCount="73">
  <si>
    <t>Divisiones para ducha batiente</t>
  </si>
  <si>
    <t>Dimensiones</t>
  </si>
  <si>
    <t>Ancho</t>
  </si>
  <si>
    <t>Inf.</t>
  </si>
  <si>
    <t>Sup.</t>
  </si>
  <si>
    <t>Altura</t>
  </si>
  <si>
    <t>Final</t>
  </si>
  <si>
    <t>mm</t>
  </si>
  <si>
    <t>Izq.</t>
  </si>
  <si>
    <t>Der.</t>
  </si>
  <si>
    <t>Batiente</t>
  </si>
  <si>
    <t>Fijo</t>
  </si>
  <si>
    <t>Ref</t>
  </si>
  <si>
    <t>Descripcion</t>
  </si>
  <si>
    <t>Canal de (3X1)" (76,2X38,1) mm con aleta descentrada</t>
  </si>
  <si>
    <t>Cant</t>
  </si>
  <si>
    <t>Perfiles</t>
  </si>
  <si>
    <t>Marco</t>
  </si>
  <si>
    <t>Tubular con adaptador VP3831 (1 1/2X1 1/2)" (55,8X38)mm.</t>
  </si>
  <si>
    <t>Tubular con doble adaptador VP3831 (1 1/2X1 1/2)" (73,4X38)mm.</t>
  </si>
  <si>
    <t>Pisavidrio curvo VP 3831 (29,1X18)mm</t>
  </si>
  <si>
    <t>Total</t>
  </si>
  <si>
    <t>Subtotal</t>
  </si>
  <si>
    <t>Pie</t>
  </si>
  <si>
    <t>Tubular (1 1/2X1 1/2)" (38,1X38,1)mm Espesor 1,8 mm</t>
  </si>
  <si>
    <t>Puerta batiente</t>
  </si>
  <si>
    <t>Puerta batiente doble sentido</t>
  </si>
  <si>
    <t>Cantidad</t>
  </si>
  <si>
    <t>Jamba division de baño colgante liviana</t>
  </si>
  <si>
    <t>Jamba celosia</t>
  </si>
  <si>
    <t>Tubular</t>
  </si>
  <si>
    <t>Celosia</t>
  </si>
  <si>
    <t>Rejilla fija (56,4*14,8) mm</t>
  </si>
  <si>
    <t>Dintel</t>
  </si>
  <si>
    <t>Tubular con doble aleta descentrada (3X1)" (76,2X49,4)mm.</t>
  </si>
  <si>
    <t>Tubular con doble adaptador VP3831 (3X1 1/2)" (126,2X38)mm.</t>
  </si>
  <si>
    <t>Adaptador VP 3831 (37,8X23,3)mm</t>
  </si>
  <si>
    <t>Division orinal</t>
  </si>
  <si>
    <t>Traslape P.C. 2044/744 (44,3X20)mm</t>
  </si>
  <si>
    <t>Empaque para vidrio de 4 a 5 mm tipo estrella</t>
  </si>
  <si>
    <t>CK-308</t>
  </si>
  <si>
    <t>Empaque para vidrio de 6 mm tipo u</t>
  </si>
  <si>
    <t>Un</t>
  </si>
  <si>
    <t>m</t>
  </si>
  <si>
    <t>Tee de cielo raso de (17X22)mm</t>
  </si>
  <si>
    <t>Angulo aluminio (1 1/4 X1 1/4 X 1/8)" (31 X 31 X 3)mm</t>
  </si>
  <si>
    <t>Tornillo pan No. 8*3/4 estrella</t>
  </si>
  <si>
    <t>un</t>
  </si>
  <si>
    <t>Remache 5/32X1/2 blanco</t>
  </si>
  <si>
    <t>Remache 1/8X1/2 blanco</t>
  </si>
  <si>
    <t>Tornillo pan No. 8*1 estrella</t>
  </si>
  <si>
    <t>Tornillo avellan No. 8*3/4 estrella</t>
  </si>
  <si>
    <t>Tornillos drywall No 10X2</t>
  </si>
  <si>
    <t>Tornillos drywall No 10X3</t>
  </si>
  <si>
    <t>Chazo plastico de 1/4</t>
  </si>
  <si>
    <t>Chazo plastico de 5/16</t>
  </si>
  <si>
    <t>Arandela de 3/16</t>
  </si>
  <si>
    <t>CW-475</t>
  </si>
  <si>
    <t>Varilla roscada de 3/8 de 3m</t>
  </si>
  <si>
    <t>Arandela de 3/8</t>
  </si>
  <si>
    <t>Tuerca de 3/8</t>
  </si>
  <si>
    <t>Tubos de silicona color blanco</t>
  </si>
  <si>
    <t>Tubos de silicona color transparente</t>
  </si>
  <si>
    <t>Inyector de silicona</t>
  </si>
  <si>
    <t>Cerradura de pomo bola para entrada acero inoxidable</t>
  </si>
  <si>
    <t>Pasador para puerta en aluminio o acero inoxidable</t>
  </si>
  <si>
    <t>Manija 8025-744 (M8025) para puerta de 19,5 cm</t>
  </si>
  <si>
    <t>Boton bola repujado sencillo en acero inoxidable o aluminio</t>
  </si>
  <si>
    <t>Lamina de policarbonato color blanco (2,10X11,80)m</t>
  </si>
  <si>
    <t>Bisagra de omega 3X3" blanco pintura</t>
  </si>
  <si>
    <t>Bisagra de omega 3X1" blanco pintura</t>
  </si>
  <si>
    <t>Bisagra de vaiven blanco pintura</t>
  </si>
  <si>
    <t>Cantidad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</si>
</sst>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142875</xdr:rowOff>
    </xdr:from>
    <xdr:to>
      <xdr:col>3</xdr:col>
      <xdr:colOff>723900</xdr:colOff>
      <xdr:row>27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4AC11B-46DD-9A20-A962-86F5D170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466725"/>
          <a:ext cx="2228850" cy="3943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</xdr:row>
      <xdr:rowOff>161924</xdr:rowOff>
    </xdr:from>
    <xdr:to>
      <xdr:col>10</xdr:col>
      <xdr:colOff>387548</xdr:colOff>
      <xdr:row>27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1ECBFC-75A7-6391-5EEA-98F88A737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647699"/>
          <a:ext cx="7026473" cy="38481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38100</xdr:rowOff>
    </xdr:from>
    <xdr:to>
      <xdr:col>3</xdr:col>
      <xdr:colOff>383815</xdr:colOff>
      <xdr:row>26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C42E24-0644-1A0E-E652-9FF472F2F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361950"/>
          <a:ext cx="1898290" cy="3971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657529</xdr:colOff>
      <xdr:row>24</xdr:row>
      <xdr:rowOff>114791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8D831-E094-01A4-6614-0874ED441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85775"/>
          <a:ext cx="2181529" cy="35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D063-88D9-46EB-BB5A-73CCD5D97FEB}">
  <dimension ref="B2:X56"/>
  <sheetViews>
    <sheetView topLeftCell="B16" workbookViewId="0">
      <selection activeCell="N35" sqref="N35"/>
    </sheetView>
  </sheetViews>
  <sheetFormatPr baseColWidth="10" defaultRowHeight="12.75" x14ac:dyDescent="0.2"/>
  <cols>
    <col min="1" max="16384" width="11.42578125" style="1"/>
  </cols>
  <sheetData>
    <row r="2" spans="2:24" x14ac:dyDescent="0.2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29" spans="2:24" x14ac:dyDescent="0.2">
      <c r="B29" s="22" t="s">
        <v>1</v>
      </c>
      <c r="C29" s="22"/>
      <c r="D29" s="22"/>
      <c r="E29" s="22"/>
      <c r="F29" s="21"/>
      <c r="G29" s="21"/>
      <c r="H29" s="21"/>
      <c r="I29" s="21"/>
      <c r="J29" s="21"/>
      <c r="K29" s="21"/>
      <c r="L29" s="23" t="s">
        <v>16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2:24" x14ac:dyDescent="0.2">
      <c r="B30" s="21" t="s">
        <v>2</v>
      </c>
      <c r="C30" s="21"/>
      <c r="D30" s="21" t="s">
        <v>5</v>
      </c>
      <c r="E30" s="21"/>
      <c r="F30" s="24" t="s">
        <v>6</v>
      </c>
      <c r="G30" s="21"/>
      <c r="H30" s="21" t="s">
        <v>10</v>
      </c>
      <c r="I30" s="21"/>
      <c r="J30" s="21" t="s">
        <v>11</v>
      </c>
      <c r="K30" s="21"/>
      <c r="L30" s="7" t="s">
        <v>17</v>
      </c>
      <c r="M30" s="7" t="s">
        <v>23</v>
      </c>
      <c r="N30" s="23" t="s">
        <v>10</v>
      </c>
      <c r="O30" s="23"/>
      <c r="P30" s="23"/>
      <c r="Q30" s="23" t="s">
        <v>11</v>
      </c>
      <c r="R30" s="23"/>
      <c r="S30" s="23"/>
      <c r="T30" s="23" t="s">
        <v>21</v>
      </c>
      <c r="U30" s="23"/>
      <c r="V30" s="23"/>
      <c r="W30" s="23"/>
      <c r="X30" s="23"/>
    </row>
    <row r="31" spans="2:24" x14ac:dyDescent="0.2">
      <c r="B31" s="5" t="s">
        <v>3</v>
      </c>
      <c r="C31" s="5" t="s">
        <v>4</v>
      </c>
      <c r="D31" s="5" t="s">
        <v>8</v>
      </c>
      <c r="E31" s="5" t="s">
        <v>9</v>
      </c>
      <c r="F31" s="8" t="s">
        <v>2</v>
      </c>
      <c r="G31" s="5" t="s">
        <v>5</v>
      </c>
      <c r="H31" s="5" t="s">
        <v>2</v>
      </c>
      <c r="I31" s="5" t="s">
        <v>5</v>
      </c>
      <c r="J31" s="5" t="s">
        <v>2</v>
      </c>
      <c r="K31" s="5" t="s">
        <v>5</v>
      </c>
      <c r="L31" s="7">
        <v>3893</v>
      </c>
      <c r="M31" s="7">
        <v>1386</v>
      </c>
      <c r="N31" s="7">
        <v>3784</v>
      </c>
      <c r="O31" s="7">
        <v>3897</v>
      </c>
      <c r="P31" s="7">
        <v>3785</v>
      </c>
      <c r="Q31" s="7">
        <v>3784</v>
      </c>
      <c r="R31" s="7">
        <v>3897</v>
      </c>
      <c r="S31" s="7">
        <v>3785</v>
      </c>
      <c r="T31" s="7">
        <v>3893</v>
      </c>
      <c r="U31" s="7">
        <v>1386</v>
      </c>
      <c r="V31" s="7">
        <v>3784</v>
      </c>
      <c r="W31" s="7">
        <v>3897</v>
      </c>
      <c r="X31" s="7">
        <v>3785</v>
      </c>
    </row>
    <row r="32" spans="2:24" x14ac:dyDescent="0.2">
      <c r="B32" s="5" t="s">
        <v>7</v>
      </c>
      <c r="C32" s="5" t="s">
        <v>7</v>
      </c>
      <c r="D32" s="5" t="s">
        <v>7</v>
      </c>
      <c r="E32" s="5" t="s">
        <v>7</v>
      </c>
      <c r="F32" s="8" t="s">
        <v>7</v>
      </c>
      <c r="G32" s="5" t="s">
        <v>7</v>
      </c>
      <c r="H32" s="5" t="s">
        <v>7</v>
      </c>
      <c r="I32" s="5" t="s">
        <v>7</v>
      </c>
      <c r="J32" s="5" t="s">
        <v>7</v>
      </c>
      <c r="K32" s="5" t="s">
        <v>7</v>
      </c>
      <c r="L32" s="7" t="s">
        <v>7</v>
      </c>
      <c r="M32" s="7" t="s">
        <v>7</v>
      </c>
      <c r="N32" s="7" t="s">
        <v>7</v>
      </c>
      <c r="O32" s="7" t="s">
        <v>7</v>
      </c>
      <c r="P32" s="7" t="s">
        <v>7</v>
      </c>
      <c r="Q32" s="7" t="s">
        <v>7</v>
      </c>
      <c r="R32" s="7" t="s">
        <v>7</v>
      </c>
      <c r="S32" s="7" t="s">
        <v>7</v>
      </c>
      <c r="T32" s="7" t="s">
        <v>7</v>
      </c>
      <c r="U32" s="7" t="s">
        <v>7</v>
      </c>
      <c r="V32" s="7" t="s">
        <v>7</v>
      </c>
      <c r="W32" s="7" t="s">
        <v>7</v>
      </c>
      <c r="X32" s="7" t="s">
        <v>7</v>
      </c>
    </row>
    <row r="33" spans="2:24" x14ac:dyDescent="0.2">
      <c r="B33" s="6">
        <v>1055</v>
      </c>
      <c r="C33" s="6">
        <v>1061</v>
      </c>
      <c r="D33" s="4">
        <v>1600</v>
      </c>
      <c r="E33" s="4">
        <f>+D33</f>
        <v>1600</v>
      </c>
      <c r="F33" s="9">
        <f>MAX(B33:C33)</f>
        <v>1061</v>
      </c>
      <c r="G33" s="6">
        <f>MAX(D33:E33)</f>
        <v>1600</v>
      </c>
      <c r="H33" s="4">
        <v>750</v>
      </c>
      <c r="I33" s="4">
        <v>1600</v>
      </c>
      <c r="J33" s="6">
        <f>F33-26-H33-6</f>
        <v>279</v>
      </c>
      <c r="K33" s="6">
        <f>+I33</f>
        <v>1600</v>
      </c>
      <c r="L33" s="4">
        <v>1600</v>
      </c>
      <c r="M33" s="4">
        <v>200</v>
      </c>
      <c r="N33" s="10">
        <f>H33*2+I33*2</f>
        <v>4700</v>
      </c>
      <c r="O33" s="10">
        <f>+H33</f>
        <v>750</v>
      </c>
      <c r="P33" s="10">
        <f>N33+2*O33</f>
        <v>6200</v>
      </c>
      <c r="Q33" s="4">
        <f>K33*2+J33*2+200</f>
        <v>3958</v>
      </c>
      <c r="R33" s="4">
        <f>+J33</f>
        <v>279</v>
      </c>
      <c r="S33" s="4">
        <f>Q33+2*R33</f>
        <v>4516</v>
      </c>
      <c r="T33" s="10">
        <f>+L33*1.03</f>
        <v>1648</v>
      </c>
      <c r="U33" s="10">
        <f>+M33</f>
        <v>200</v>
      </c>
      <c r="V33" s="10">
        <f>ROUNDUP((N33+Q33)*1.03,0)</f>
        <v>8918</v>
      </c>
      <c r="W33" s="10">
        <f>ROUNDUP((O33+R33)*1.03,0)</f>
        <v>1060</v>
      </c>
      <c r="X33" s="10">
        <f>ROUNDUP((P33+S33)*1.03,0)</f>
        <v>11038</v>
      </c>
    </row>
    <row r="34" spans="2:24" x14ac:dyDescent="0.2">
      <c r="B34" s="6">
        <v>992</v>
      </c>
      <c r="C34" s="6">
        <v>992</v>
      </c>
      <c r="D34" s="4">
        <v>1600</v>
      </c>
      <c r="E34" s="4">
        <f t="shared" ref="E34:E41" si="0">+D34</f>
        <v>1600</v>
      </c>
      <c r="F34" s="9">
        <f t="shared" ref="F34:F41" si="1">MAX(B34:C34)</f>
        <v>992</v>
      </c>
      <c r="G34" s="6">
        <f t="shared" ref="G34:G41" si="2">MAX(D34:E34)</f>
        <v>1600</v>
      </c>
      <c r="H34" s="4">
        <v>750</v>
      </c>
      <c r="I34" s="4">
        <v>1600</v>
      </c>
      <c r="J34" s="6">
        <f t="shared" ref="J34:J38" si="3">F34-26-H34-6</f>
        <v>210</v>
      </c>
      <c r="K34" s="6">
        <f t="shared" ref="K34:K38" si="4">+I34</f>
        <v>1600</v>
      </c>
      <c r="L34" s="4">
        <v>1600</v>
      </c>
      <c r="M34" s="4">
        <v>200</v>
      </c>
      <c r="N34" s="10">
        <f t="shared" ref="N34:N38" si="5">H34*2+I34*2</f>
        <v>4700</v>
      </c>
      <c r="O34" s="10">
        <f t="shared" ref="O34:O38" si="6">+H34</f>
        <v>750</v>
      </c>
      <c r="P34" s="10">
        <f t="shared" ref="P34:P38" si="7">N34+2*O34</f>
        <v>6200</v>
      </c>
      <c r="Q34" s="4">
        <f t="shared" ref="Q34:Q38" si="8">K34*2+J34*2+200</f>
        <v>3820</v>
      </c>
      <c r="R34" s="4">
        <f t="shared" ref="R34:R38" si="9">+J34</f>
        <v>210</v>
      </c>
      <c r="S34" s="4">
        <f t="shared" ref="S34:S38" si="10">Q34+2*R34</f>
        <v>4240</v>
      </c>
      <c r="T34" s="10">
        <f t="shared" ref="T34:T38" si="11">+L34*1.03</f>
        <v>1648</v>
      </c>
      <c r="U34" s="10">
        <f t="shared" ref="U34:U38" si="12">+M34</f>
        <v>200</v>
      </c>
      <c r="V34" s="10">
        <f t="shared" ref="V34:V38" si="13">ROUNDUP((N34+Q34)*1.03,0)</f>
        <v>8776</v>
      </c>
      <c r="W34" s="10">
        <f t="shared" ref="W34:X41" si="14">ROUNDUP((O34+R34)*1.03,0)</f>
        <v>989</v>
      </c>
      <c r="X34" s="10">
        <f t="shared" si="14"/>
        <v>10754</v>
      </c>
    </row>
    <row r="35" spans="2:24" x14ac:dyDescent="0.2">
      <c r="B35" s="6">
        <v>939</v>
      </c>
      <c r="C35" s="6">
        <v>942</v>
      </c>
      <c r="D35" s="4">
        <v>1600</v>
      </c>
      <c r="E35" s="4">
        <f t="shared" si="0"/>
        <v>1600</v>
      </c>
      <c r="F35" s="9">
        <f t="shared" si="1"/>
        <v>942</v>
      </c>
      <c r="G35" s="6">
        <f t="shared" si="2"/>
        <v>1600</v>
      </c>
      <c r="H35" s="4">
        <v>750</v>
      </c>
      <c r="I35" s="4">
        <v>1600</v>
      </c>
      <c r="J35" s="6">
        <f t="shared" si="3"/>
        <v>160</v>
      </c>
      <c r="K35" s="6">
        <f t="shared" si="4"/>
        <v>1600</v>
      </c>
      <c r="L35" s="4">
        <v>1600</v>
      </c>
      <c r="M35" s="4">
        <v>200</v>
      </c>
      <c r="N35" s="10">
        <f t="shared" si="5"/>
        <v>4700</v>
      </c>
      <c r="O35" s="10">
        <f t="shared" si="6"/>
        <v>750</v>
      </c>
      <c r="P35" s="10">
        <f t="shared" si="7"/>
        <v>6200</v>
      </c>
      <c r="Q35" s="4">
        <f t="shared" si="8"/>
        <v>3720</v>
      </c>
      <c r="R35" s="4">
        <f t="shared" si="9"/>
        <v>160</v>
      </c>
      <c r="S35" s="4">
        <f t="shared" si="10"/>
        <v>4040</v>
      </c>
      <c r="T35" s="10">
        <f t="shared" si="11"/>
        <v>1648</v>
      </c>
      <c r="U35" s="10">
        <f t="shared" si="12"/>
        <v>200</v>
      </c>
      <c r="V35" s="10">
        <f t="shared" si="13"/>
        <v>8673</v>
      </c>
      <c r="W35" s="10">
        <f t="shared" si="14"/>
        <v>938</v>
      </c>
      <c r="X35" s="10">
        <f t="shared" si="14"/>
        <v>10548</v>
      </c>
    </row>
    <row r="36" spans="2:24" x14ac:dyDescent="0.2">
      <c r="B36" s="6">
        <v>1002</v>
      </c>
      <c r="C36" s="6">
        <v>1004</v>
      </c>
      <c r="D36" s="4">
        <v>1600</v>
      </c>
      <c r="E36" s="4">
        <f t="shared" si="0"/>
        <v>1600</v>
      </c>
      <c r="F36" s="9">
        <f t="shared" si="1"/>
        <v>1004</v>
      </c>
      <c r="G36" s="6">
        <f t="shared" si="2"/>
        <v>1600</v>
      </c>
      <c r="H36" s="4">
        <v>750</v>
      </c>
      <c r="I36" s="4">
        <v>1600</v>
      </c>
      <c r="J36" s="6">
        <f t="shared" si="3"/>
        <v>222</v>
      </c>
      <c r="K36" s="6">
        <f t="shared" si="4"/>
        <v>1600</v>
      </c>
      <c r="L36" s="4">
        <v>1600</v>
      </c>
      <c r="M36" s="4">
        <v>200</v>
      </c>
      <c r="N36" s="10">
        <f t="shared" si="5"/>
        <v>4700</v>
      </c>
      <c r="O36" s="10">
        <f t="shared" si="6"/>
        <v>750</v>
      </c>
      <c r="P36" s="10">
        <f t="shared" si="7"/>
        <v>6200</v>
      </c>
      <c r="Q36" s="4">
        <f t="shared" si="8"/>
        <v>3844</v>
      </c>
      <c r="R36" s="4">
        <f t="shared" si="9"/>
        <v>222</v>
      </c>
      <c r="S36" s="4">
        <f t="shared" si="10"/>
        <v>4288</v>
      </c>
      <c r="T36" s="10">
        <f t="shared" si="11"/>
        <v>1648</v>
      </c>
      <c r="U36" s="10">
        <f t="shared" si="12"/>
        <v>200</v>
      </c>
      <c r="V36" s="10">
        <f t="shared" si="13"/>
        <v>8801</v>
      </c>
      <c r="W36" s="10">
        <f t="shared" si="14"/>
        <v>1002</v>
      </c>
      <c r="X36" s="10">
        <f t="shared" si="14"/>
        <v>10803</v>
      </c>
    </row>
    <row r="37" spans="2:24" x14ac:dyDescent="0.2">
      <c r="B37" s="6">
        <v>1003</v>
      </c>
      <c r="C37" s="6">
        <v>1005</v>
      </c>
      <c r="D37" s="4">
        <v>1600</v>
      </c>
      <c r="E37" s="4">
        <f t="shared" si="0"/>
        <v>1600</v>
      </c>
      <c r="F37" s="9">
        <f t="shared" si="1"/>
        <v>1005</v>
      </c>
      <c r="G37" s="6">
        <f t="shared" si="2"/>
        <v>1600</v>
      </c>
      <c r="H37" s="4">
        <v>750</v>
      </c>
      <c r="I37" s="4">
        <v>1600</v>
      </c>
      <c r="J37" s="6">
        <f t="shared" si="3"/>
        <v>223</v>
      </c>
      <c r="K37" s="6">
        <f t="shared" si="4"/>
        <v>1600</v>
      </c>
      <c r="L37" s="4">
        <v>1600</v>
      </c>
      <c r="M37" s="4">
        <v>200</v>
      </c>
      <c r="N37" s="10">
        <f t="shared" si="5"/>
        <v>4700</v>
      </c>
      <c r="O37" s="10">
        <f t="shared" si="6"/>
        <v>750</v>
      </c>
      <c r="P37" s="10">
        <f t="shared" si="7"/>
        <v>6200</v>
      </c>
      <c r="Q37" s="4">
        <f t="shared" si="8"/>
        <v>3846</v>
      </c>
      <c r="R37" s="4">
        <f t="shared" si="9"/>
        <v>223</v>
      </c>
      <c r="S37" s="4">
        <f t="shared" si="10"/>
        <v>4292</v>
      </c>
      <c r="T37" s="10">
        <f t="shared" si="11"/>
        <v>1648</v>
      </c>
      <c r="U37" s="10">
        <f t="shared" si="12"/>
        <v>200</v>
      </c>
      <c r="V37" s="10">
        <f t="shared" si="13"/>
        <v>8803</v>
      </c>
      <c r="W37" s="10">
        <f t="shared" si="14"/>
        <v>1003</v>
      </c>
      <c r="X37" s="10">
        <f t="shared" si="14"/>
        <v>10807</v>
      </c>
    </row>
    <row r="38" spans="2:24" x14ac:dyDescent="0.2">
      <c r="B38" s="6">
        <v>1004</v>
      </c>
      <c r="C38" s="6">
        <v>1004</v>
      </c>
      <c r="D38" s="4">
        <v>1600</v>
      </c>
      <c r="E38" s="4">
        <f t="shared" si="0"/>
        <v>1600</v>
      </c>
      <c r="F38" s="9">
        <f t="shared" si="1"/>
        <v>1004</v>
      </c>
      <c r="G38" s="6">
        <f t="shared" si="2"/>
        <v>1600</v>
      </c>
      <c r="H38" s="4">
        <v>750</v>
      </c>
      <c r="I38" s="4">
        <v>1600</v>
      </c>
      <c r="J38" s="6">
        <f t="shared" si="3"/>
        <v>222</v>
      </c>
      <c r="K38" s="6">
        <f t="shared" si="4"/>
        <v>1600</v>
      </c>
      <c r="L38" s="4">
        <v>1600</v>
      </c>
      <c r="M38" s="4">
        <v>200</v>
      </c>
      <c r="N38" s="10">
        <f t="shared" si="5"/>
        <v>4700</v>
      </c>
      <c r="O38" s="10">
        <f t="shared" si="6"/>
        <v>750</v>
      </c>
      <c r="P38" s="10">
        <f t="shared" si="7"/>
        <v>6200</v>
      </c>
      <c r="Q38" s="4">
        <f t="shared" si="8"/>
        <v>3844</v>
      </c>
      <c r="R38" s="4">
        <f t="shared" si="9"/>
        <v>222</v>
      </c>
      <c r="S38" s="4">
        <f t="shared" si="10"/>
        <v>4288</v>
      </c>
      <c r="T38" s="10">
        <f t="shared" si="11"/>
        <v>1648</v>
      </c>
      <c r="U38" s="10">
        <f t="shared" si="12"/>
        <v>200</v>
      </c>
      <c r="V38" s="10">
        <f t="shared" si="13"/>
        <v>8801</v>
      </c>
      <c r="W38" s="10">
        <f t="shared" si="14"/>
        <v>1002</v>
      </c>
      <c r="X38" s="10">
        <f t="shared" si="14"/>
        <v>10803</v>
      </c>
    </row>
    <row r="39" spans="2:24" x14ac:dyDescent="0.2">
      <c r="B39" s="6">
        <v>1053</v>
      </c>
      <c r="C39" s="6">
        <v>1058</v>
      </c>
      <c r="D39" s="4">
        <v>1600</v>
      </c>
      <c r="E39" s="4">
        <f t="shared" si="0"/>
        <v>1600</v>
      </c>
      <c r="F39" s="9">
        <f t="shared" si="1"/>
        <v>1058</v>
      </c>
      <c r="G39" s="6">
        <f t="shared" si="2"/>
        <v>1600</v>
      </c>
      <c r="H39" s="4">
        <v>750</v>
      </c>
      <c r="I39" s="4">
        <v>1600</v>
      </c>
      <c r="J39" s="6">
        <f t="shared" ref="J39" si="15">F39-26-H39-6</f>
        <v>276</v>
      </c>
      <c r="K39" s="6">
        <f t="shared" ref="K39" si="16">+I39</f>
        <v>1600</v>
      </c>
      <c r="L39" s="4">
        <v>1600</v>
      </c>
      <c r="M39" s="4">
        <v>200</v>
      </c>
      <c r="N39" s="10">
        <f t="shared" ref="N39" si="17">H39*2+I39*2</f>
        <v>4700</v>
      </c>
      <c r="O39" s="10">
        <f t="shared" ref="O39" si="18">+H39</f>
        <v>750</v>
      </c>
      <c r="P39" s="10">
        <f t="shared" ref="P39" si="19">N39+2*O39</f>
        <v>6200</v>
      </c>
      <c r="Q39" s="4">
        <f t="shared" ref="Q39" si="20">K39*2+J39*2+200</f>
        <v>3952</v>
      </c>
      <c r="R39" s="4">
        <f t="shared" ref="R39" si="21">+J39</f>
        <v>276</v>
      </c>
      <c r="S39" s="4">
        <f t="shared" ref="S39" si="22">Q39+2*R39</f>
        <v>4504</v>
      </c>
      <c r="T39" s="10">
        <f t="shared" ref="T39:T40" si="23">+L39*1.03</f>
        <v>1648</v>
      </c>
      <c r="U39" s="10">
        <f t="shared" ref="U39" si="24">+M39</f>
        <v>200</v>
      </c>
      <c r="V39" s="10">
        <f t="shared" ref="V39" si="25">ROUNDUP((N39+Q39)*1.03,0)</f>
        <v>8912</v>
      </c>
      <c r="W39" s="10">
        <f t="shared" si="14"/>
        <v>1057</v>
      </c>
      <c r="X39" s="10">
        <f t="shared" si="14"/>
        <v>11026</v>
      </c>
    </row>
    <row r="40" spans="2:24" x14ac:dyDescent="0.2">
      <c r="B40" s="6">
        <v>1630</v>
      </c>
      <c r="C40" s="6">
        <v>1624</v>
      </c>
      <c r="D40" s="4">
        <v>1600</v>
      </c>
      <c r="E40" s="4">
        <f t="shared" si="0"/>
        <v>1600</v>
      </c>
      <c r="F40" s="9">
        <f t="shared" si="1"/>
        <v>1630</v>
      </c>
      <c r="G40" s="6">
        <f t="shared" si="2"/>
        <v>1600</v>
      </c>
      <c r="H40" s="4">
        <v>750</v>
      </c>
      <c r="I40" s="4">
        <v>1600</v>
      </c>
      <c r="J40" s="6">
        <f>F40-52-2*H40-12</f>
        <v>66</v>
      </c>
      <c r="K40" s="6">
        <v>1800</v>
      </c>
      <c r="L40" s="4">
        <v>3200</v>
      </c>
      <c r="M40" s="4">
        <v>0</v>
      </c>
      <c r="N40" s="10">
        <f>H40*4+I40*4</f>
        <v>9400</v>
      </c>
      <c r="O40" s="10">
        <f>+H40*2</f>
        <v>1500</v>
      </c>
      <c r="P40" s="10">
        <f t="shared" ref="P40:P41" si="26">N40+2*O40</f>
        <v>12400</v>
      </c>
      <c r="Q40" s="4">
        <f t="shared" ref="Q40:Q41" si="27">K40*2+J40*2+200</f>
        <v>3932</v>
      </c>
      <c r="R40" s="4">
        <f t="shared" ref="R40:R41" si="28">+J40</f>
        <v>66</v>
      </c>
      <c r="S40" s="4">
        <f t="shared" ref="S40:S41" si="29">Q40+2*R40</f>
        <v>4064</v>
      </c>
      <c r="T40" s="10">
        <f t="shared" si="23"/>
        <v>3296</v>
      </c>
      <c r="U40" s="10">
        <f t="shared" ref="U40:U41" si="30">+M40</f>
        <v>0</v>
      </c>
      <c r="V40" s="10">
        <f t="shared" ref="V40:V41" si="31">ROUNDUP((N40+Q40)*1.03,0)</f>
        <v>13732</v>
      </c>
      <c r="W40" s="10">
        <f t="shared" si="14"/>
        <v>1613</v>
      </c>
      <c r="X40" s="10">
        <f t="shared" si="14"/>
        <v>16958</v>
      </c>
    </row>
    <row r="41" spans="2:24" x14ac:dyDescent="0.2">
      <c r="B41" s="6">
        <v>1570</v>
      </c>
      <c r="C41" s="6">
        <v>1570</v>
      </c>
      <c r="D41" s="4">
        <v>1800</v>
      </c>
      <c r="E41" s="4">
        <f t="shared" si="0"/>
        <v>1800</v>
      </c>
      <c r="F41" s="9">
        <f t="shared" si="1"/>
        <v>1570</v>
      </c>
      <c r="G41" s="6">
        <f t="shared" si="2"/>
        <v>1800</v>
      </c>
      <c r="H41" s="4"/>
      <c r="I41" s="4"/>
      <c r="J41" s="6">
        <v>1570</v>
      </c>
      <c r="K41" s="6">
        <v>1800</v>
      </c>
      <c r="L41" s="4">
        <v>0</v>
      </c>
      <c r="M41" s="4">
        <v>0</v>
      </c>
      <c r="N41" s="10">
        <f t="shared" ref="N41" si="32">H41*2+I41*2</f>
        <v>0</v>
      </c>
      <c r="O41" s="10">
        <f t="shared" ref="O41" si="33">+H41</f>
        <v>0</v>
      </c>
      <c r="P41" s="10">
        <f t="shared" si="26"/>
        <v>0</v>
      </c>
      <c r="Q41" s="4">
        <f t="shared" si="27"/>
        <v>6940</v>
      </c>
      <c r="R41" s="4">
        <f t="shared" si="28"/>
        <v>1570</v>
      </c>
      <c r="S41" s="4">
        <f t="shared" si="29"/>
        <v>10080</v>
      </c>
      <c r="T41" s="10">
        <f t="shared" ref="T41" si="34">+L41*1.03</f>
        <v>0</v>
      </c>
      <c r="U41" s="10">
        <f t="shared" si="30"/>
        <v>0</v>
      </c>
      <c r="V41" s="10">
        <f t="shared" si="31"/>
        <v>7149</v>
      </c>
      <c r="W41" s="10">
        <f t="shared" si="14"/>
        <v>1618</v>
      </c>
      <c r="X41" s="10">
        <f t="shared" si="14"/>
        <v>10383</v>
      </c>
    </row>
    <row r="42" spans="2:24" x14ac:dyDescent="0.2">
      <c r="B42" s="6"/>
      <c r="C42" s="6"/>
      <c r="D42" s="4"/>
      <c r="E42" s="4"/>
      <c r="F42" s="9"/>
      <c r="G42" s="6"/>
      <c r="H42" s="4"/>
      <c r="I42" s="4"/>
      <c r="J42" s="6"/>
      <c r="K42" s="6"/>
      <c r="L42" s="4"/>
      <c r="M42" s="4"/>
      <c r="N42" s="10"/>
      <c r="O42" s="10"/>
      <c r="P42" s="10"/>
      <c r="Q42" s="4"/>
      <c r="R42" s="4"/>
      <c r="S42" s="4"/>
      <c r="T42" s="10"/>
      <c r="U42" s="10"/>
      <c r="V42" s="10"/>
      <c r="W42" s="10"/>
      <c r="X42" s="10"/>
    </row>
    <row r="43" spans="2:24" x14ac:dyDescent="0.2">
      <c r="B43" s="6"/>
      <c r="C43" s="6"/>
      <c r="D43" s="4"/>
      <c r="E43" s="4"/>
      <c r="F43" s="9"/>
      <c r="G43" s="6"/>
      <c r="H43" s="4"/>
      <c r="I43" s="4"/>
      <c r="J43" s="6"/>
      <c r="K43" s="6"/>
      <c r="L43" s="4"/>
      <c r="M43" s="4"/>
      <c r="N43" s="10"/>
      <c r="O43" s="10"/>
      <c r="P43" s="10"/>
      <c r="Q43" s="4"/>
      <c r="R43" s="4"/>
      <c r="S43" s="4"/>
      <c r="T43" s="10"/>
      <c r="U43" s="10"/>
      <c r="V43" s="10"/>
      <c r="W43" s="10"/>
      <c r="X43" s="10"/>
    </row>
    <row r="44" spans="2:24" x14ac:dyDescent="0.2">
      <c r="B44" s="6"/>
      <c r="C44" s="6"/>
      <c r="D44" s="4"/>
      <c r="E44" s="4"/>
      <c r="F44" s="9"/>
      <c r="G44" s="6"/>
      <c r="H44" s="4"/>
      <c r="I44" s="4"/>
      <c r="J44" s="6"/>
      <c r="K44" s="6"/>
      <c r="L44" s="4"/>
      <c r="M44" s="4"/>
      <c r="N44" s="10"/>
      <c r="O44" s="10"/>
      <c r="P44" s="10"/>
      <c r="Q44" s="4"/>
      <c r="R44" s="4"/>
      <c r="S44" s="4"/>
      <c r="T44" s="10"/>
      <c r="U44" s="10"/>
      <c r="V44" s="10"/>
      <c r="W44" s="10"/>
      <c r="X44" s="10"/>
    </row>
    <row r="45" spans="2:24" x14ac:dyDescent="0.2">
      <c r="B45" s="6"/>
      <c r="C45" s="6"/>
      <c r="D45" s="4"/>
      <c r="E45" s="4"/>
      <c r="F45" s="9"/>
      <c r="G45" s="6"/>
      <c r="H45" s="4"/>
      <c r="I45" s="4"/>
      <c r="J45" s="6"/>
      <c r="K45" s="6"/>
      <c r="L45" s="4"/>
      <c r="M45" s="4"/>
      <c r="N45" s="10"/>
      <c r="O45" s="10"/>
      <c r="P45" s="10"/>
      <c r="Q45" s="4"/>
      <c r="R45" s="4"/>
      <c r="S45" s="4"/>
      <c r="T45" s="10"/>
      <c r="U45" s="10"/>
      <c r="V45" s="10"/>
      <c r="W45" s="10"/>
      <c r="X45" s="10"/>
    </row>
    <row r="46" spans="2:24" x14ac:dyDescent="0.2">
      <c r="B46" s="6"/>
      <c r="C46" s="6"/>
      <c r="D46" s="4"/>
      <c r="E46" s="4"/>
      <c r="F46" s="9"/>
      <c r="G46" s="6"/>
      <c r="H46" s="4"/>
      <c r="I46" s="4"/>
      <c r="J46" s="6"/>
      <c r="K46" s="6"/>
      <c r="L46" s="4"/>
      <c r="M46" s="4"/>
      <c r="N46" s="10"/>
      <c r="O46" s="10"/>
      <c r="P46" s="10"/>
      <c r="Q46" s="4"/>
      <c r="R46" s="4"/>
      <c r="S46" s="4"/>
      <c r="T46" s="10"/>
      <c r="U46" s="10"/>
      <c r="V46" s="10"/>
      <c r="W46" s="10"/>
      <c r="X46" s="10"/>
    </row>
    <row r="47" spans="2:24" x14ac:dyDescent="0.2">
      <c r="B47" s="6"/>
      <c r="C47" s="6"/>
      <c r="D47" s="4"/>
      <c r="E47" s="4"/>
      <c r="F47" s="9"/>
      <c r="G47" s="6"/>
      <c r="H47" s="4"/>
      <c r="I47" s="4"/>
      <c r="J47" s="6"/>
      <c r="K47" s="6"/>
      <c r="L47" s="4"/>
      <c r="M47" s="4"/>
      <c r="N47" s="10"/>
      <c r="O47" s="10"/>
      <c r="P47" s="10"/>
      <c r="Q47" s="4"/>
      <c r="R47" s="4"/>
      <c r="S47" s="4"/>
      <c r="T47" s="10"/>
      <c r="U47" s="10"/>
      <c r="V47" s="10"/>
      <c r="W47" s="10"/>
      <c r="X47" s="10"/>
    </row>
    <row r="48" spans="2:24" x14ac:dyDescent="0.2">
      <c r="B48" s="6"/>
      <c r="C48" s="6"/>
      <c r="D48" s="4"/>
      <c r="E48" s="4"/>
      <c r="F48" s="9"/>
      <c r="G48" s="6"/>
      <c r="H48" s="4"/>
      <c r="I48" s="4"/>
      <c r="J48" s="6"/>
      <c r="K48" s="6"/>
      <c r="L48" s="4"/>
      <c r="M48" s="4"/>
      <c r="N48" s="10"/>
      <c r="O48" s="10"/>
      <c r="P48" s="10"/>
      <c r="Q48" s="4"/>
      <c r="R48" s="4"/>
      <c r="S48" s="4"/>
      <c r="T48" s="10"/>
      <c r="U48" s="10"/>
      <c r="V48" s="10"/>
      <c r="W48" s="10"/>
      <c r="X48" s="10"/>
    </row>
    <row r="49" spans="2:24" x14ac:dyDescent="0.2">
      <c r="B49" s="6"/>
      <c r="C49" s="6"/>
      <c r="D49" s="4"/>
      <c r="E49" s="4"/>
      <c r="F49" s="9"/>
      <c r="G49" s="6"/>
      <c r="H49" s="4"/>
      <c r="I49" s="4"/>
      <c r="J49" s="6"/>
      <c r="K49" s="6"/>
      <c r="L49" s="4"/>
      <c r="M49" s="4"/>
      <c r="N49" s="10"/>
      <c r="O49" s="10"/>
      <c r="P49" s="10"/>
      <c r="Q49" s="4"/>
      <c r="R49" s="4"/>
      <c r="S49" s="4"/>
      <c r="T49" s="10"/>
      <c r="U49" s="10"/>
      <c r="V49" s="10"/>
      <c r="W49" s="10"/>
      <c r="X49" s="10"/>
    </row>
    <row r="50" spans="2:24" x14ac:dyDescent="0.2">
      <c r="B50" s="6"/>
      <c r="C50" s="6"/>
      <c r="D50" s="4"/>
      <c r="E50" s="4"/>
      <c r="F50" s="9"/>
      <c r="G50" s="6"/>
      <c r="H50" s="4"/>
      <c r="I50" s="4"/>
      <c r="J50" s="6"/>
      <c r="K50" s="6"/>
      <c r="L50" s="4"/>
      <c r="M50" s="4"/>
      <c r="N50" s="10"/>
      <c r="O50" s="10"/>
      <c r="P50" s="10"/>
      <c r="Q50" s="4"/>
      <c r="R50" s="4"/>
      <c r="S50" s="4"/>
      <c r="T50" s="10"/>
      <c r="U50" s="10"/>
      <c r="V50" s="10"/>
      <c r="W50" s="10"/>
      <c r="X50" s="10"/>
    </row>
    <row r="51" spans="2:24" x14ac:dyDescent="0.2">
      <c r="B51" s="6"/>
      <c r="C51" s="6"/>
      <c r="D51" s="4"/>
      <c r="E51" s="4"/>
      <c r="F51" s="9"/>
      <c r="G51" s="6"/>
      <c r="H51" s="4"/>
      <c r="I51" s="4"/>
      <c r="J51" s="6"/>
      <c r="K51" s="6"/>
      <c r="L51" s="4"/>
      <c r="M51" s="4"/>
      <c r="N51" s="10"/>
      <c r="O51" s="10"/>
      <c r="P51" s="10"/>
      <c r="Q51" s="4"/>
      <c r="R51" s="4"/>
      <c r="S51" s="4"/>
      <c r="T51" s="10"/>
      <c r="U51" s="10"/>
      <c r="V51" s="10"/>
      <c r="W51" s="10"/>
      <c r="X51" s="10"/>
    </row>
    <row r="52" spans="2:24" x14ac:dyDescent="0.2">
      <c r="B52" s="6"/>
      <c r="C52" s="6"/>
      <c r="D52" s="4"/>
      <c r="E52" s="4"/>
      <c r="F52" s="9"/>
      <c r="G52" s="6"/>
      <c r="H52" s="4"/>
      <c r="I52" s="4"/>
      <c r="J52" s="6"/>
      <c r="K52" s="6"/>
      <c r="L52" s="4"/>
      <c r="M52" s="4"/>
      <c r="N52" s="10"/>
      <c r="O52" s="10"/>
      <c r="P52" s="10"/>
      <c r="Q52" s="4"/>
      <c r="R52" s="4"/>
      <c r="S52" s="4"/>
      <c r="T52" s="10"/>
      <c r="U52" s="10"/>
      <c r="V52" s="10"/>
      <c r="W52" s="10"/>
      <c r="X52" s="10"/>
    </row>
    <row r="53" spans="2:24" x14ac:dyDescent="0.2">
      <c r="B53" s="6"/>
      <c r="C53" s="6"/>
      <c r="D53" s="4"/>
      <c r="E53" s="4"/>
      <c r="F53" s="9"/>
      <c r="G53" s="6"/>
      <c r="H53" s="4"/>
      <c r="I53" s="4"/>
      <c r="J53" s="6"/>
      <c r="K53" s="6"/>
      <c r="L53" s="4"/>
      <c r="M53" s="4"/>
      <c r="N53" s="10"/>
      <c r="O53" s="10"/>
      <c r="P53" s="10"/>
      <c r="Q53" s="4"/>
      <c r="R53" s="4"/>
      <c r="S53" s="4"/>
      <c r="T53" s="10"/>
      <c r="U53" s="10"/>
      <c r="V53" s="10"/>
      <c r="W53" s="10"/>
      <c r="X53" s="10"/>
    </row>
    <row r="54" spans="2:24" x14ac:dyDescent="0.2">
      <c r="B54" s="6"/>
      <c r="C54" s="6"/>
      <c r="D54" s="4"/>
      <c r="E54" s="4"/>
      <c r="F54" s="9"/>
      <c r="G54" s="6"/>
      <c r="H54" s="4"/>
      <c r="I54" s="4"/>
      <c r="J54" s="6"/>
      <c r="K54" s="6"/>
      <c r="L54" s="4"/>
      <c r="M54" s="4"/>
      <c r="N54" s="10"/>
      <c r="O54" s="10"/>
      <c r="P54" s="10"/>
      <c r="Q54" s="4"/>
      <c r="R54" s="4"/>
      <c r="S54" s="4"/>
      <c r="T54" s="10"/>
      <c r="U54" s="10"/>
      <c r="V54" s="10"/>
      <c r="W54" s="10"/>
      <c r="X54" s="10"/>
    </row>
    <row r="55" spans="2:24" x14ac:dyDescent="0.2">
      <c r="B55" s="6"/>
      <c r="C55" s="6"/>
      <c r="D55" s="4"/>
      <c r="E55" s="4"/>
      <c r="F55" s="9"/>
      <c r="G55" s="6"/>
      <c r="H55" s="4"/>
      <c r="I55" s="4"/>
      <c r="J55" s="6"/>
      <c r="K55" s="6"/>
      <c r="L55" s="4"/>
      <c r="M55" s="4"/>
      <c r="N55" s="10"/>
      <c r="O55" s="10"/>
      <c r="P55" s="10"/>
      <c r="Q55" s="4"/>
      <c r="R55" s="4"/>
      <c r="S55" s="4"/>
      <c r="T55" s="10"/>
      <c r="U55" s="10"/>
      <c r="V55" s="10"/>
      <c r="W55" s="10"/>
      <c r="X55" s="10"/>
    </row>
    <row r="56" spans="2:24" x14ac:dyDescent="0.2">
      <c r="B56" s="19" t="s">
        <v>22</v>
      </c>
      <c r="C56" s="19"/>
      <c r="D56" s="19"/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3">
        <f>SUM(T33:T55)</f>
        <v>14832</v>
      </c>
      <c r="U56" s="3">
        <f t="shared" ref="U56:X56" si="35">SUM(U33:U55)</f>
        <v>1400</v>
      </c>
      <c r="V56" s="3">
        <f t="shared" si="35"/>
        <v>82565</v>
      </c>
      <c r="W56" s="3">
        <f t="shared" si="35"/>
        <v>10282</v>
      </c>
      <c r="X56" s="3">
        <f t="shared" si="35"/>
        <v>103120</v>
      </c>
    </row>
  </sheetData>
  <mergeCells count="12">
    <mergeCell ref="B2:X2"/>
    <mergeCell ref="B56:S56"/>
    <mergeCell ref="J30:K30"/>
    <mergeCell ref="B29:K29"/>
    <mergeCell ref="N30:P30"/>
    <mergeCell ref="Q30:S30"/>
    <mergeCell ref="T30:X30"/>
    <mergeCell ref="L29:X29"/>
    <mergeCell ref="B30:C30"/>
    <mergeCell ref="F30:G30"/>
    <mergeCell ref="D30:E30"/>
    <mergeCell ref="H30:I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B64B-9A91-4FAA-AD6E-962727117500}">
  <dimension ref="B2:U56"/>
  <sheetViews>
    <sheetView workbookViewId="0">
      <selection activeCell="U56" sqref="U56"/>
    </sheetView>
  </sheetViews>
  <sheetFormatPr baseColWidth="10" defaultRowHeight="12.75" x14ac:dyDescent="0.2"/>
  <cols>
    <col min="1" max="16384" width="11.42578125" style="1"/>
  </cols>
  <sheetData>
    <row r="2" spans="2:21" x14ac:dyDescent="0.2">
      <c r="B2" s="18" t="s">
        <v>26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29" spans="2:21" x14ac:dyDescent="0.2">
      <c r="B29" s="27" t="s">
        <v>1</v>
      </c>
      <c r="C29" s="28"/>
      <c r="D29" s="28"/>
      <c r="E29" s="28"/>
      <c r="F29" s="28"/>
      <c r="G29" s="28"/>
      <c r="H29" s="28"/>
      <c r="I29" s="28"/>
      <c r="J29" s="28"/>
      <c r="K29" s="25" t="s">
        <v>16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2:21" x14ac:dyDescent="0.2">
      <c r="B30" s="26" t="s">
        <v>2</v>
      </c>
      <c r="C30" s="26"/>
      <c r="D30" s="26" t="s">
        <v>5</v>
      </c>
      <c r="E30" s="26"/>
      <c r="F30" s="26" t="s">
        <v>6</v>
      </c>
      <c r="G30" s="26"/>
      <c r="H30" s="27" t="s">
        <v>10</v>
      </c>
      <c r="I30" s="28"/>
      <c r="J30" s="29"/>
      <c r="K30" s="30" t="s">
        <v>17</v>
      </c>
      <c r="L30" s="31"/>
      <c r="M30" s="30" t="s">
        <v>29</v>
      </c>
      <c r="N30" s="31"/>
      <c r="O30" s="14" t="s">
        <v>30</v>
      </c>
      <c r="P30" s="30" t="s">
        <v>31</v>
      </c>
      <c r="Q30" s="31"/>
      <c r="R30" s="25" t="s">
        <v>21</v>
      </c>
      <c r="S30" s="25"/>
      <c r="T30" s="25"/>
      <c r="U30" s="25"/>
    </row>
    <row r="31" spans="2:21" x14ac:dyDescent="0.2">
      <c r="B31" s="11" t="s">
        <v>3</v>
      </c>
      <c r="C31" s="11" t="s">
        <v>4</v>
      </c>
      <c r="D31" s="11" t="s">
        <v>8</v>
      </c>
      <c r="E31" s="11" t="s">
        <v>9</v>
      </c>
      <c r="F31" s="11" t="s">
        <v>2</v>
      </c>
      <c r="G31" s="11" t="s">
        <v>5</v>
      </c>
      <c r="H31" s="11" t="s">
        <v>2</v>
      </c>
      <c r="I31" s="11" t="s">
        <v>5</v>
      </c>
      <c r="J31" s="11" t="s">
        <v>27</v>
      </c>
      <c r="K31" s="13">
        <v>3893</v>
      </c>
      <c r="L31" s="13" t="s">
        <v>27</v>
      </c>
      <c r="M31" s="13">
        <v>3881</v>
      </c>
      <c r="N31" s="13" t="s">
        <v>27</v>
      </c>
      <c r="O31" s="13">
        <v>1386</v>
      </c>
      <c r="P31" s="13">
        <v>3791</v>
      </c>
      <c r="Q31" s="13" t="s">
        <v>27</v>
      </c>
      <c r="R31" s="13">
        <v>3893</v>
      </c>
      <c r="S31" s="13">
        <v>3881</v>
      </c>
      <c r="T31" s="13">
        <v>1386</v>
      </c>
      <c r="U31" s="13">
        <v>3791</v>
      </c>
    </row>
    <row r="32" spans="2:21" x14ac:dyDescent="0.2">
      <c r="B32" s="11" t="s">
        <v>7</v>
      </c>
      <c r="C32" s="11" t="s">
        <v>7</v>
      </c>
      <c r="D32" s="11" t="s">
        <v>7</v>
      </c>
      <c r="E32" s="11" t="s">
        <v>7</v>
      </c>
      <c r="F32" s="11" t="s">
        <v>7</v>
      </c>
      <c r="G32" s="11" t="s">
        <v>7</v>
      </c>
      <c r="H32" s="11" t="s">
        <v>7</v>
      </c>
      <c r="I32" s="11" t="s">
        <v>7</v>
      </c>
      <c r="J32" s="11"/>
      <c r="K32" s="13" t="s">
        <v>7</v>
      </c>
      <c r="L32" s="13"/>
      <c r="M32" s="13" t="s">
        <v>7</v>
      </c>
      <c r="N32" s="13"/>
      <c r="O32" s="13" t="s">
        <v>7</v>
      </c>
      <c r="P32" s="13" t="s">
        <v>7</v>
      </c>
      <c r="Q32" s="13"/>
      <c r="R32" s="13" t="s">
        <v>7</v>
      </c>
      <c r="S32" s="13" t="s">
        <v>7</v>
      </c>
      <c r="T32" s="13" t="s">
        <v>7</v>
      </c>
      <c r="U32" s="13" t="s">
        <v>7</v>
      </c>
    </row>
    <row r="33" spans="2:21" x14ac:dyDescent="0.2">
      <c r="B33" s="12">
        <v>1208</v>
      </c>
      <c r="C33" s="12">
        <v>1208</v>
      </c>
      <c r="D33" s="4">
        <v>1000</v>
      </c>
      <c r="E33" s="4">
        <f>+D33</f>
        <v>1000</v>
      </c>
      <c r="F33" s="12">
        <f>MAX(B33:C33)</f>
        <v>1208</v>
      </c>
      <c r="G33" s="12">
        <f>MAX(D33:E33)</f>
        <v>1000</v>
      </c>
      <c r="H33" s="4">
        <f>(F33-24-50.8)/2</f>
        <v>566.6</v>
      </c>
      <c r="I33" s="4">
        <v>1000</v>
      </c>
      <c r="J33" s="4">
        <v>2</v>
      </c>
      <c r="K33" s="4">
        <v>1000</v>
      </c>
      <c r="L33" s="4">
        <v>2</v>
      </c>
      <c r="M33" s="4">
        <f>G33-2*38</f>
        <v>924</v>
      </c>
      <c r="N33" s="4">
        <v>4</v>
      </c>
      <c r="O33" s="4">
        <f>(H33*2+I33*2)*J33</f>
        <v>6266.4</v>
      </c>
      <c r="P33" s="4">
        <f>(H33-38*2)</f>
        <v>490.6</v>
      </c>
      <c r="Q33" s="4">
        <f>ROUNDUP((I33-2*38)/40,0)*J33</f>
        <v>48</v>
      </c>
      <c r="R33" s="4">
        <f>+K33*L33</f>
        <v>2000</v>
      </c>
      <c r="S33" s="4">
        <f>+M33*N33</f>
        <v>3696</v>
      </c>
      <c r="T33" s="4">
        <f>+O33</f>
        <v>6266.4</v>
      </c>
      <c r="U33" s="4">
        <f>+P33*Q33</f>
        <v>23548.800000000003</v>
      </c>
    </row>
    <row r="34" spans="2:21" x14ac:dyDescent="0.2">
      <c r="B34" s="12">
        <v>1215</v>
      </c>
      <c r="C34" s="12">
        <v>1218</v>
      </c>
      <c r="D34" s="4">
        <v>1000</v>
      </c>
      <c r="E34" s="4">
        <v>1000</v>
      </c>
      <c r="F34" s="12">
        <f>MAX(B34:C34)</f>
        <v>1218</v>
      </c>
      <c r="G34" s="12">
        <f>MAX(D34:E34)</f>
        <v>1000</v>
      </c>
      <c r="H34" s="4">
        <f>(F34-24-50.8)/2</f>
        <v>571.6</v>
      </c>
      <c r="I34" s="4">
        <v>1000</v>
      </c>
      <c r="J34" s="4">
        <v>2</v>
      </c>
      <c r="K34" s="4">
        <v>1000</v>
      </c>
      <c r="L34" s="4">
        <v>2</v>
      </c>
      <c r="M34" s="4">
        <f>G34-2*38</f>
        <v>924</v>
      </c>
      <c r="N34" s="4">
        <v>4</v>
      </c>
      <c r="O34" s="4">
        <f>(H34*2+I34*2)*J34</f>
        <v>6286.4</v>
      </c>
      <c r="P34" s="4">
        <f>(H34-38*2)</f>
        <v>495.6</v>
      </c>
      <c r="Q34" s="4">
        <f>ROUNDUP((I34-2*38)/40,0)*J34</f>
        <v>48</v>
      </c>
      <c r="R34" s="4">
        <f>+K34*L34</f>
        <v>2000</v>
      </c>
      <c r="S34" s="4">
        <f>+M34*N34</f>
        <v>3696</v>
      </c>
      <c r="T34" s="4">
        <f>+O34</f>
        <v>6286.4</v>
      </c>
      <c r="U34" s="4">
        <f>+P34*Q34</f>
        <v>23788.800000000003</v>
      </c>
    </row>
    <row r="35" spans="2:21" x14ac:dyDescent="0.2">
      <c r="B35" s="12"/>
      <c r="C35" s="12"/>
      <c r="D35" s="4"/>
      <c r="E35" s="4"/>
      <c r="F35" s="12"/>
      <c r="G35" s="1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2:21" x14ac:dyDescent="0.2">
      <c r="B36" s="12"/>
      <c r="C36" s="12"/>
      <c r="D36" s="4"/>
      <c r="E36" s="4"/>
      <c r="F36" s="12"/>
      <c r="G36" s="1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2:21" x14ac:dyDescent="0.2">
      <c r="B37" s="12"/>
      <c r="C37" s="12"/>
      <c r="D37" s="4"/>
      <c r="E37" s="4"/>
      <c r="F37" s="12"/>
      <c r="G37" s="1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2:21" x14ac:dyDescent="0.2">
      <c r="B38" s="12"/>
      <c r="C38" s="12"/>
      <c r="D38" s="4"/>
      <c r="E38" s="4"/>
      <c r="F38" s="12"/>
      <c r="G38" s="1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2:21" x14ac:dyDescent="0.2">
      <c r="B39" s="12"/>
      <c r="C39" s="12"/>
      <c r="D39" s="4"/>
      <c r="E39" s="4"/>
      <c r="F39" s="12"/>
      <c r="G39" s="1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2:21" x14ac:dyDescent="0.2">
      <c r="B40" s="12"/>
      <c r="C40" s="12"/>
      <c r="D40" s="4"/>
      <c r="E40" s="4"/>
      <c r="F40" s="12"/>
      <c r="G40" s="1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2:21" x14ac:dyDescent="0.2">
      <c r="B41" s="12"/>
      <c r="C41" s="12"/>
      <c r="D41" s="4"/>
      <c r="E41" s="4"/>
      <c r="F41" s="12"/>
      <c r="G41" s="1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2:21" x14ac:dyDescent="0.2">
      <c r="B42" s="12"/>
      <c r="C42" s="12"/>
      <c r="D42" s="4"/>
      <c r="E42" s="4"/>
      <c r="F42" s="12"/>
      <c r="G42" s="1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1" x14ac:dyDescent="0.2">
      <c r="B43" s="12"/>
      <c r="C43" s="12"/>
      <c r="D43" s="4"/>
      <c r="E43" s="4"/>
      <c r="F43" s="12"/>
      <c r="G43" s="1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2:21" x14ac:dyDescent="0.2">
      <c r="B44" s="12"/>
      <c r="C44" s="12"/>
      <c r="D44" s="4"/>
      <c r="E44" s="4"/>
      <c r="F44" s="12"/>
      <c r="G44" s="1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2:21" x14ac:dyDescent="0.2">
      <c r="B45" s="12"/>
      <c r="C45" s="12"/>
      <c r="D45" s="4"/>
      <c r="E45" s="4"/>
      <c r="F45" s="12"/>
      <c r="G45" s="1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2:21" x14ac:dyDescent="0.2">
      <c r="B46" s="12"/>
      <c r="C46" s="12"/>
      <c r="D46" s="4"/>
      <c r="E46" s="4"/>
      <c r="F46" s="12"/>
      <c r="G46" s="1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2:21" x14ac:dyDescent="0.2">
      <c r="B47" s="12"/>
      <c r="C47" s="12"/>
      <c r="D47" s="4"/>
      <c r="E47" s="4"/>
      <c r="F47" s="12"/>
      <c r="G47" s="1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2:21" x14ac:dyDescent="0.2">
      <c r="B48" s="12"/>
      <c r="C48" s="12"/>
      <c r="D48" s="4"/>
      <c r="E48" s="4"/>
      <c r="F48" s="12"/>
      <c r="G48" s="1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2:21" x14ac:dyDescent="0.2">
      <c r="B49" s="12"/>
      <c r="C49" s="12"/>
      <c r="D49" s="4"/>
      <c r="E49" s="4"/>
      <c r="F49" s="12"/>
      <c r="G49" s="1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2:21" x14ac:dyDescent="0.2">
      <c r="B50" s="12"/>
      <c r="C50" s="12"/>
      <c r="D50" s="4"/>
      <c r="E50" s="4"/>
      <c r="F50" s="12"/>
      <c r="G50" s="1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2:21" x14ac:dyDescent="0.2">
      <c r="B51" s="12"/>
      <c r="C51" s="12"/>
      <c r="D51" s="4"/>
      <c r="E51" s="4"/>
      <c r="F51" s="12"/>
      <c r="G51" s="1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2:21" x14ac:dyDescent="0.2">
      <c r="B52" s="12"/>
      <c r="C52" s="12"/>
      <c r="D52" s="4"/>
      <c r="E52" s="4"/>
      <c r="F52" s="12"/>
      <c r="G52" s="1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2:21" x14ac:dyDescent="0.2">
      <c r="B53" s="12"/>
      <c r="C53" s="12"/>
      <c r="D53" s="4"/>
      <c r="E53" s="4"/>
      <c r="F53" s="12"/>
      <c r="G53" s="1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2:21" x14ac:dyDescent="0.2">
      <c r="B54" s="12"/>
      <c r="C54" s="12"/>
      <c r="D54" s="4"/>
      <c r="E54" s="4"/>
      <c r="F54" s="12"/>
      <c r="G54" s="1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2:21" x14ac:dyDescent="0.2">
      <c r="B55" s="12"/>
      <c r="C55" s="12"/>
      <c r="D55" s="4"/>
      <c r="E55" s="4"/>
      <c r="F55" s="12"/>
      <c r="G55" s="1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2:21" x14ac:dyDescent="0.2">
      <c r="B56" s="20" t="s">
        <v>22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">
        <f>SUM(R33:R55)</f>
        <v>4000</v>
      </c>
      <c r="S56" s="3">
        <f t="shared" ref="S56:U56" si="0">SUM(S33:S55)</f>
        <v>7392</v>
      </c>
      <c r="T56" s="3">
        <f t="shared" si="0"/>
        <v>12552.8</v>
      </c>
      <c r="U56" s="3">
        <f t="shared" si="0"/>
        <v>47337.600000000006</v>
      </c>
    </row>
  </sheetData>
  <mergeCells count="12">
    <mergeCell ref="B56:Q56"/>
    <mergeCell ref="H30:J30"/>
    <mergeCell ref="B29:J29"/>
    <mergeCell ref="K30:L30"/>
    <mergeCell ref="M30:N30"/>
    <mergeCell ref="P30:Q30"/>
    <mergeCell ref="B2:U2"/>
    <mergeCell ref="K29:U29"/>
    <mergeCell ref="B30:C30"/>
    <mergeCell ref="D30:E30"/>
    <mergeCell ref="F30:G30"/>
    <mergeCell ref="R30:U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9DE5-463D-4051-B463-EC9914CF3D6A}">
  <dimension ref="B2:AB56"/>
  <sheetViews>
    <sheetView workbookViewId="0">
      <selection activeCell="W31" sqref="W31:W56"/>
    </sheetView>
  </sheetViews>
  <sheetFormatPr baseColWidth="10" defaultRowHeight="12.75" x14ac:dyDescent="0.2"/>
  <cols>
    <col min="1" max="16384" width="11.42578125" style="1"/>
  </cols>
  <sheetData>
    <row r="2" spans="2:28" x14ac:dyDescent="0.2">
      <c r="B2" s="18" t="s">
        <v>25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29" spans="2:28" x14ac:dyDescent="0.2">
      <c r="B29" s="32" t="s">
        <v>1</v>
      </c>
      <c r="C29" s="33"/>
      <c r="D29" s="33"/>
      <c r="E29" s="33"/>
      <c r="F29" s="33"/>
      <c r="G29" s="33"/>
      <c r="H29" s="33"/>
      <c r="I29" s="33"/>
      <c r="J29" s="33"/>
      <c r="K29" s="24"/>
      <c r="L29" s="23" t="s">
        <v>16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spans="2:28" x14ac:dyDescent="0.2">
      <c r="B30" s="21" t="s">
        <v>2</v>
      </c>
      <c r="C30" s="21"/>
      <c r="D30" s="21" t="s">
        <v>5</v>
      </c>
      <c r="E30" s="21"/>
      <c r="F30" s="24" t="s">
        <v>6</v>
      </c>
      <c r="G30" s="21"/>
      <c r="H30" s="21" t="s">
        <v>10</v>
      </c>
      <c r="I30" s="21"/>
      <c r="J30" s="21" t="s">
        <v>33</v>
      </c>
      <c r="K30" s="21"/>
      <c r="L30" s="34" t="s">
        <v>17</v>
      </c>
      <c r="M30" s="35"/>
      <c r="N30" s="35"/>
      <c r="O30" s="35"/>
      <c r="P30" s="35"/>
      <c r="Q30" s="35"/>
      <c r="R30" s="23" t="s">
        <v>10</v>
      </c>
      <c r="S30" s="23"/>
      <c r="T30" s="23"/>
      <c r="U30" s="23" t="s">
        <v>33</v>
      </c>
      <c r="V30" s="23"/>
      <c r="W30" s="23" t="s">
        <v>21</v>
      </c>
      <c r="X30" s="23"/>
      <c r="Y30" s="23"/>
      <c r="Z30" s="23"/>
      <c r="AA30" s="23"/>
      <c r="AB30" s="23"/>
    </row>
    <row r="31" spans="2:28" x14ac:dyDescent="0.2">
      <c r="B31" s="5" t="s">
        <v>3</v>
      </c>
      <c r="C31" s="5" t="s">
        <v>4</v>
      </c>
      <c r="D31" s="5" t="s">
        <v>8</v>
      </c>
      <c r="E31" s="5" t="s">
        <v>9</v>
      </c>
      <c r="F31" s="8" t="s">
        <v>2</v>
      </c>
      <c r="G31" s="5" t="s">
        <v>5</v>
      </c>
      <c r="H31" s="5" t="s">
        <v>2</v>
      </c>
      <c r="I31" s="5" t="s">
        <v>5</v>
      </c>
      <c r="J31" s="5" t="s">
        <v>2</v>
      </c>
      <c r="K31" s="5" t="s">
        <v>5</v>
      </c>
      <c r="L31" s="7">
        <v>3893</v>
      </c>
      <c r="M31" s="7" t="s">
        <v>27</v>
      </c>
      <c r="N31" s="7">
        <v>3893</v>
      </c>
      <c r="O31" s="7" t="s">
        <v>27</v>
      </c>
      <c r="P31" s="7">
        <v>3892</v>
      </c>
      <c r="Q31" s="7" t="s">
        <v>27</v>
      </c>
      <c r="R31" s="7">
        <v>3763</v>
      </c>
      <c r="S31" s="7">
        <v>4130</v>
      </c>
      <c r="T31" s="7">
        <v>3785</v>
      </c>
      <c r="U31" s="7">
        <v>2810</v>
      </c>
      <c r="V31" s="7">
        <v>3785</v>
      </c>
      <c r="W31" s="7">
        <v>3893</v>
      </c>
      <c r="X31" s="7">
        <v>3892</v>
      </c>
      <c r="Y31" s="7">
        <v>3763</v>
      </c>
      <c r="Z31" s="7">
        <v>4130</v>
      </c>
      <c r="AA31" s="7">
        <v>2810</v>
      </c>
      <c r="AB31" s="7">
        <v>3785</v>
      </c>
    </row>
    <row r="32" spans="2:28" x14ac:dyDescent="0.2">
      <c r="B32" s="5" t="s">
        <v>7</v>
      </c>
      <c r="C32" s="5" t="s">
        <v>7</v>
      </c>
      <c r="D32" s="5" t="s">
        <v>7</v>
      </c>
      <c r="E32" s="5" t="s">
        <v>7</v>
      </c>
      <c r="F32" s="8" t="s">
        <v>7</v>
      </c>
      <c r="G32" s="5" t="s">
        <v>7</v>
      </c>
      <c r="H32" s="5" t="s">
        <v>7</v>
      </c>
      <c r="I32" s="5" t="s">
        <v>7</v>
      </c>
      <c r="J32" s="5" t="s">
        <v>7</v>
      </c>
      <c r="K32" s="5" t="s">
        <v>7</v>
      </c>
      <c r="L32" s="7" t="s">
        <v>7</v>
      </c>
      <c r="M32" s="7"/>
      <c r="N32" s="7" t="s">
        <v>7</v>
      </c>
      <c r="O32" s="7"/>
      <c r="P32" s="7" t="s">
        <v>7</v>
      </c>
      <c r="Q32" s="7"/>
      <c r="R32" s="7" t="s">
        <v>7</v>
      </c>
      <c r="S32" s="7" t="s">
        <v>7</v>
      </c>
      <c r="T32" s="7" t="s">
        <v>7</v>
      </c>
      <c r="U32" s="7" t="s">
        <v>7</v>
      </c>
      <c r="V32" s="7" t="s">
        <v>7</v>
      </c>
      <c r="W32" s="7" t="s">
        <v>7</v>
      </c>
      <c r="X32" s="7" t="s">
        <v>7</v>
      </c>
      <c r="Y32" s="7" t="s">
        <v>7</v>
      </c>
      <c r="Z32" s="7" t="s">
        <v>7</v>
      </c>
      <c r="AA32" s="7" t="s">
        <v>7</v>
      </c>
      <c r="AB32" s="7" t="s">
        <v>7</v>
      </c>
    </row>
    <row r="33" spans="2:28" x14ac:dyDescent="0.2">
      <c r="B33" s="6">
        <v>998</v>
      </c>
      <c r="C33" s="6">
        <v>998</v>
      </c>
      <c r="D33" s="4">
        <v>2503</v>
      </c>
      <c r="E33" s="4">
        <v>2510</v>
      </c>
      <c r="F33" s="9">
        <f>MAX(B33:C33)</f>
        <v>998</v>
      </c>
      <c r="G33" s="6">
        <f>MAX(D33:E33)</f>
        <v>2510</v>
      </c>
      <c r="H33" s="4">
        <f>ROUND(F33-2/25.4-8,0)</f>
        <v>990</v>
      </c>
      <c r="I33" s="4">
        <v>2100</v>
      </c>
      <c r="J33" s="9">
        <f>F33</f>
        <v>998</v>
      </c>
      <c r="K33" s="6">
        <f>G33-I33-10</f>
        <v>400</v>
      </c>
      <c r="L33" s="4">
        <f>G33</f>
        <v>2510</v>
      </c>
      <c r="M33" s="4">
        <v>2</v>
      </c>
      <c r="N33" s="4">
        <f>J33</f>
        <v>998</v>
      </c>
      <c r="O33" s="4">
        <v>1</v>
      </c>
      <c r="P33" s="4">
        <f>+N33</f>
        <v>998</v>
      </c>
      <c r="Q33" s="4">
        <v>1</v>
      </c>
      <c r="R33" s="10">
        <f>H33*2+I33*2</f>
        <v>6180</v>
      </c>
      <c r="S33" s="10">
        <f>+H33</f>
        <v>990</v>
      </c>
      <c r="T33" s="10">
        <f>R33+2*S33</f>
        <v>8160</v>
      </c>
      <c r="U33" s="4">
        <f>J33*2+K33*2</f>
        <v>2796</v>
      </c>
      <c r="V33" s="4">
        <f>+U33</f>
        <v>2796</v>
      </c>
      <c r="W33" s="10">
        <f>+L33+N33</f>
        <v>3508</v>
      </c>
      <c r="X33" s="10">
        <f>+P33</f>
        <v>998</v>
      </c>
      <c r="Y33" s="10">
        <f>+R33</f>
        <v>6180</v>
      </c>
      <c r="Z33" s="10">
        <f>+S33</f>
        <v>990</v>
      </c>
      <c r="AA33" s="10">
        <f>+U33</f>
        <v>2796</v>
      </c>
      <c r="AB33" s="10">
        <f>+T33+V33</f>
        <v>10956</v>
      </c>
    </row>
    <row r="34" spans="2:28" x14ac:dyDescent="0.2">
      <c r="B34" s="6"/>
      <c r="C34" s="6"/>
      <c r="D34" s="4"/>
      <c r="E34" s="4"/>
      <c r="F34" s="9"/>
      <c r="G34" s="6"/>
      <c r="H34" s="4"/>
      <c r="I34" s="4"/>
      <c r="J34" s="9"/>
      <c r="K34" s="6"/>
      <c r="L34" s="4"/>
      <c r="M34" s="4"/>
      <c r="N34" s="4"/>
      <c r="O34" s="4"/>
      <c r="P34" s="4"/>
      <c r="Q34" s="4"/>
      <c r="R34" s="10"/>
      <c r="S34" s="10"/>
      <c r="T34" s="10"/>
      <c r="U34" s="4"/>
      <c r="V34" s="4"/>
      <c r="W34" s="10"/>
      <c r="X34" s="10"/>
      <c r="Y34" s="10"/>
      <c r="Z34" s="10"/>
      <c r="AA34" s="10"/>
      <c r="AB34" s="10"/>
    </row>
    <row r="35" spans="2:28" x14ac:dyDescent="0.2">
      <c r="B35" s="6"/>
      <c r="C35" s="6"/>
      <c r="D35" s="4"/>
      <c r="E35" s="4"/>
      <c r="F35" s="9"/>
      <c r="G35" s="6"/>
      <c r="H35" s="4"/>
      <c r="I35" s="4"/>
      <c r="J35" s="9"/>
      <c r="K35" s="6"/>
      <c r="L35" s="4"/>
      <c r="M35" s="4"/>
      <c r="N35" s="4"/>
      <c r="O35" s="4"/>
      <c r="P35" s="4"/>
      <c r="Q35" s="4"/>
      <c r="R35" s="10"/>
      <c r="S35" s="10"/>
      <c r="T35" s="10"/>
      <c r="U35" s="4"/>
      <c r="V35" s="4"/>
      <c r="W35" s="10"/>
      <c r="X35" s="10"/>
      <c r="Y35" s="10"/>
      <c r="Z35" s="10"/>
      <c r="AA35" s="10"/>
      <c r="AB35" s="10"/>
    </row>
    <row r="36" spans="2:28" x14ac:dyDescent="0.2">
      <c r="B36" s="6"/>
      <c r="C36" s="6"/>
      <c r="D36" s="4"/>
      <c r="E36" s="4"/>
      <c r="F36" s="9"/>
      <c r="G36" s="6"/>
      <c r="H36" s="4"/>
      <c r="I36" s="4"/>
      <c r="J36" s="9"/>
      <c r="K36" s="6"/>
      <c r="L36" s="4"/>
      <c r="M36" s="4"/>
      <c r="N36" s="4"/>
      <c r="O36" s="4"/>
      <c r="P36" s="4"/>
      <c r="Q36" s="4"/>
      <c r="R36" s="10"/>
      <c r="S36" s="10"/>
      <c r="T36" s="10"/>
      <c r="U36" s="4"/>
      <c r="V36" s="4"/>
      <c r="W36" s="10"/>
      <c r="X36" s="10"/>
      <c r="Y36" s="10"/>
      <c r="Z36" s="10"/>
      <c r="AA36" s="10"/>
      <c r="AB36" s="10"/>
    </row>
    <row r="37" spans="2:28" x14ac:dyDescent="0.2">
      <c r="B37" s="6"/>
      <c r="C37" s="6"/>
      <c r="D37" s="4"/>
      <c r="E37" s="4"/>
      <c r="F37" s="9"/>
      <c r="G37" s="6"/>
      <c r="H37" s="4"/>
      <c r="I37" s="4"/>
      <c r="J37" s="9"/>
      <c r="K37" s="6"/>
      <c r="L37" s="4"/>
      <c r="M37" s="4"/>
      <c r="N37" s="4"/>
      <c r="O37" s="4"/>
      <c r="P37" s="4"/>
      <c r="Q37" s="4"/>
      <c r="R37" s="10"/>
      <c r="S37" s="10"/>
      <c r="T37" s="10"/>
      <c r="U37" s="4"/>
      <c r="V37" s="4"/>
      <c r="W37" s="10"/>
      <c r="X37" s="10"/>
      <c r="Y37" s="10"/>
      <c r="Z37" s="10"/>
      <c r="AA37" s="10"/>
      <c r="AB37" s="10"/>
    </row>
    <row r="38" spans="2:28" x14ac:dyDescent="0.2">
      <c r="B38" s="6"/>
      <c r="C38" s="6"/>
      <c r="D38" s="4"/>
      <c r="E38" s="4"/>
      <c r="F38" s="9"/>
      <c r="G38" s="6"/>
      <c r="H38" s="4"/>
      <c r="I38" s="4"/>
      <c r="J38" s="9"/>
      <c r="K38" s="6"/>
      <c r="L38" s="4"/>
      <c r="M38" s="4"/>
      <c r="N38" s="4"/>
      <c r="O38" s="4"/>
      <c r="P38" s="4"/>
      <c r="Q38" s="4"/>
      <c r="R38" s="10"/>
      <c r="S38" s="10"/>
      <c r="T38" s="10"/>
      <c r="U38" s="4"/>
      <c r="V38" s="4"/>
      <c r="W38" s="10"/>
      <c r="X38" s="10"/>
      <c r="Y38" s="10"/>
      <c r="Z38" s="10"/>
      <c r="AA38" s="10"/>
      <c r="AB38" s="10"/>
    </row>
    <row r="39" spans="2:28" x14ac:dyDescent="0.2">
      <c r="B39" s="6"/>
      <c r="C39" s="6"/>
      <c r="D39" s="4"/>
      <c r="E39" s="4"/>
      <c r="F39" s="9"/>
      <c r="G39" s="6"/>
      <c r="H39" s="4"/>
      <c r="I39" s="4"/>
      <c r="J39" s="9"/>
      <c r="K39" s="6"/>
      <c r="L39" s="4"/>
      <c r="M39" s="4"/>
      <c r="N39" s="4"/>
      <c r="O39" s="4"/>
      <c r="P39" s="4"/>
      <c r="Q39" s="4"/>
      <c r="R39" s="10"/>
      <c r="S39" s="10"/>
      <c r="T39" s="10"/>
      <c r="U39" s="4"/>
      <c r="V39" s="4"/>
      <c r="W39" s="10"/>
      <c r="X39" s="10"/>
      <c r="Y39" s="10"/>
      <c r="Z39" s="10"/>
      <c r="AA39" s="10"/>
      <c r="AB39" s="10"/>
    </row>
    <row r="40" spans="2:28" x14ac:dyDescent="0.2">
      <c r="B40" s="6"/>
      <c r="C40" s="6"/>
      <c r="D40" s="4"/>
      <c r="E40" s="4"/>
      <c r="F40" s="9"/>
      <c r="G40" s="6"/>
      <c r="H40" s="4"/>
      <c r="I40" s="4"/>
      <c r="J40" s="9"/>
      <c r="K40" s="6"/>
      <c r="L40" s="4"/>
      <c r="M40" s="4"/>
      <c r="N40" s="4"/>
      <c r="O40" s="4"/>
      <c r="P40" s="4"/>
      <c r="Q40" s="4"/>
      <c r="R40" s="10"/>
      <c r="S40" s="10"/>
      <c r="T40" s="10"/>
      <c r="U40" s="4"/>
      <c r="V40" s="4"/>
      <c r="W40" s="10"/>
      <c r="X40" s="10"/>
      <c r="Y40" s="10"/>
      <c r="Z40" s="10"/>
      <c r="AA40" s="10"/>
      <c r="AB40" s="10"/>
    </row>
    <row r="41" spans="2:28" x14ac:dyDescent="0.2">
      <c r="B41" s="6"/>
      <c r="C41" s="6"/>
      <c r="D41" s="4"/>
      <c r="E41" s="4"/>
      <c r="F41" s="9"/>
      <c r="G41" s="6"/>
      <c r="H41" s="4"/>
      <c r="I41" s="4"/>
      <c r="J41" s="9"/>
      <c r="K41" s="6"/>
      <c r="L41" s="4"/>
      <c r="M41" s="4"/>
      <c r="N41" s="4"/>
      <c r="O41" s="4"/>
      <c r="P41" s="4"/>
      <c r="Q41" s="4"/>
      <c r="R41" s="10"/>
      <c r="S41" s="10"/>
      <c r="T41" s="10"/>
      <c r="U41" s="4"/>
      <c r="V41" s="4"/>
      <c r="W41" s="10"/>
      <c r="X41" s="10"/>
      <c r="Y41" s="10"/>
      <c r="Z41" s="10"/>
      <c r="AA41" s="10"/>
      <c r="AB41" s="10"/>
    </row>
    <row r="42" spans="2:28" x14ac:dyDescent="0.2">
      <c r="B42" s="6"/>
      <c r="C42" s="6"/>
      <c r="D42" s="4"/>
      <c r="E42" s="4"/>
      <c r="F42" s="9"/>
      <c r="G42" s="6"/>
      <c r="H42" s="4"/>
      <c r="I42" s="4"/>
      <c r="J42" s="9"/>
      <c r="K42" s="6"/>
      <c r="L42" s="4"/>
      <c r="M42" s="4"/>
      <c r="N42" s="4"/>
      <c r="O42" s="4"/>
      <c r="P42" s="4"/>
      <c r="Q42" s="4"/>
      <c r="R42" s="10"/>
      <c r="S42" s="10"/>
      <c r="T42" s="10"/>
      <c r="U42" s="4"/>
      <c r="V42" s="4"/>
      <c r="W42" s="10"/>
      <c r="X42" s="10"/>
      <c r="Y42" s="10"/>
      <c r="Z42" s="10"/>
      <c r="AA42" s="10"/>
      <c r="AB42" s="10"/>
    </row>
    <row r="43" spans="2:28" x14ac:dyDescent="0.2">
      <c r="B43" s="6"/>
      <c r="C43" s="6"/>
      <c r="D43" s="4"/>
      <c r="E43" s="4"/>
      <c r="F43" s="9"/>
      <c r="G43" s="6"/>
      <c r="H43" s="4"/>
      <c r="I43" s="4"/>
      <c r="J43" s="9"/>
      <c r="K43" s="6"/>
      <c r="L43" s="4"/>
      <c r="M43" s="4"/>
      <c r="N43" s="4"/>
      <c r="O43" s="4"/>
      <c r="P43" s="4"/>
      <c r="Q43" s="4"/>
      <c r="R43" s="10"/>
      <c r="S43" s="10"/>
      <c r="T43" s="10"/>
      <c r="U43" s="4"/>
      <c r="V43" s="4"/>
      <c r="W43" s="10"/>
      <c r="X43" s="10"/>
      <c r="Y43" s="10"/>
      <c r="Z43" s="10"/>
      <c r="AA43" s="10"/>
      <c r="AB43" s="10"/>
    </row>
    <row r="44" spans="2:28" x14ac:dyDescent="0.2">
      <c r="B44" s="6"/>
      <c r="C44" s="6"/>
      <c r="D44" s="4"/>
      <c r="E44" s="4"/>
      <c r="F44" s="9"/>
      <c r="G44" s="6"/>
      <c r="H44" s="4"/>
      <c r="I44" s="4"/>
      <c r="J44" s="9"/>
      <c r="K44" s="6"/>
      <c r="L44" s="4"/>
      <c r="M44" s="4"/>
      <c r="N44" s="4"/>
      <c r="O44" s="4"/>
      <c r="P44" s="4"/>
      <c r="Q44" s="4"/>
      <c r="R44" s="10"/>
      <c r="S44" s="10"/>
      <c r="T44" s="10"/>
      <c r="U44" s="4"/>
      <c r="V44" s="4"/>
      <c r="W44" s="10"/>
      <c r="X44" s="10"/>
      <c r="Y44" s="10"/>
      <c r="Z44" s="10"/>
      <c r="AA44" s="10"/>
      <c r="AB44" s="10"/>
    </row>
    <row r="45" spans="2:28" x14ac:dyDescent="0.2">
      <c r="B45" s="6"/>
      <c r="C45" s="6"/>
      <c r="D45" s="4"/>
      <c r="E45" s="4"/>
      <c r="F45" s="9"/>
      <c r="G45" s="6"/>
      <c r="H45" s="4"/>
      <c r="I45" s="4"/>
      <c r="J45" s="9"/>
      <c r="K45" s="6"/>
      <c r="L45" s="4"/>
      <c r="M45" s="4"/>
      <c r="N45" s="4"/>
      <c r="O45" s="4"/>
      <c r="P45" s="4"/>
      <c r="Q45" s="4"/>
      <c r="R45" s="10"/>
      <c r="S45" s="10"/>
      <c r="T45" s="10"/>
      <c r="U45" s="4"/>
      <c r="V45" s="4"/>
      <c r="W45" s="10"/>
      <c r="X45" s="10"/>
      <c r="Y45" s="10"/>
      <c r="Z45" s="10"/>
      <c r="AA45" s="10"/>
      <c r="AB45" s="10"/>
    </row>
    <row r="46" spans="2:28" x14ac:dyDescent="0.2">
      <c r="B46" s="6"/>
      <c r="C46" s="6"/>
      <c r="D46" s="4"/>
      <c r="E46" s="4"/>
      <c r="F46" s="9"/>
      <c r="G46" s="6"/>
      <c r="H46" s="4"/>
      <c r="I46" s="4"/>
      <c r="J46" s="9"/>
      <c r="K46" s="6"/>
      <c r="L46" s="4"/>
      <c r="M46" s="4"/>
      <c r="N46" s="4"/>
      <c r="O46" s="4"/>
      <c r="P46" s="4"/>
      <c r="Q46" s="4"/>
      <c r="R46" s="10"/>
      <c r="S46" s="10"/>
      <c r="T46" s="10"/>
      <c r="U46" s="4"/>
      <c r="V46" s="4"/>
      <c r="W46" s="10"/>
      <c r="X46" s="10"/>
      <c r="Y46" s="10"/>
      <c r="Z46" s="10"/>
      <c r="AA46" s="10"/>
      <c r="AB46" s="10"/>
    </row>
    <row r="47" spans="2:28" x14ac:dyDescent="0.2">
      <c r="B47" s="6"/>
      <c r="C47" s="6"/>
      <c r="D47" s="4"/>
      <c r="E47" s="4"/>
      <c r="F47" s="9"/>
      <c r="G47" s="6"/>
      <c r="H47" s="4"/>
      <c r="I47" s="4"/>
      <c r="J47" s="9"/>
      <c r="K47" s="6"/>
      <c r="L47" s="4"/>
      <c r="M47" s="4"/>
      <c r="N47" s="4"/>
      <c r="O47" s="4"/>
      <c r="P47" s="4"/>
      <c r="Q47" s="4"/>
      <c r="R47" s="10"/>
      <c r="S47" s="10"/>
      <c r="T47" s="10"/>
      <c r="U47" s="4"/>
      <c r="V47" s="4"/>
      <c r="W47" s="10"/>
      <c r="X47" s="10"/>
      <c r="Y47" s="10"/>
      <c r="Z47" s="10"/>
      <c r="AA47" s="10"/>
      <c r="AB47" s="10"/>
    </row>
    <row r="48" spans="2:28" x14ac:dyDescent="0.2">
      <c r="B48" s="6"/>
      <c r="C48" s="6"/>
      <c r="D48" s="4"/>
      <c r="E48" s="4"/>
      <c r="F48" s="9"/>
      <c r="G48" s="6"/>
      <c r="H48" s="4"/>
      <c r="I48" s="4"/>
      <c r="J48" s="9"/>
      <c r="K48" s="6"/>
      <c r="L48" s="4"/>
      <c r="M48" s="4"/>
      <c r="N48" s="4"/>
      <c r="O48" s="4"/>
      <c r="P48" s="4"/>
      <c r="Q48" s="4"/>
      <c r="R48" s="10"/>
      <c r="S48" s="10"/>
      <c r="T48" s="10"/>
      <c r="U48" s="4"/>
      <c r="V48" s="4"/>
      <c r="W48" s="10"/>
      <c r="X48" s="10"/>
      <c r="Y48" s="10"/>
      <c r="Z48" s="10"/>
      <c r="AA48" s="10"/>
      <c r="AB48" s="10"/>
    </row>
    <row r="49" spans="2:28" x14ac:dyDescent="0.2">
      <c r="B49" s="6"/>
      <c r="C49" s="6"/>
      <c r="D49" s="4"/>
      <c r="E49" s="4"/>
      <c r="F49" s="9"/>
      <c r="G49" s="6"/>
      <c r="H49" s="4"/>
      <c r="I49" s="4"/>
      <c r="J49" s="9"/>
      <c r="K49" s="6"/>
      <c r="L49" s="4"/>
      <c r="M49" s="4"/>
      <c r="N49" s="4"/>
      <c r="O49" s="4"/>
      <c r="P49" s="4"/>
      <c r="Q49" s="4"/>
      <c r="R49" s="10"/>
      <c r="S49" s="10"/>
      <c r="T49" s="10"/>
      <c r="U49" s="4"/>
      <c r="V49" s="4"/>
      <c r="W49" s="10"/>
      <c r="X49" s="10"/>
      <c r="Y49" s="10"/>
      <c r="Z49" s="10"/>
      <c r="AA49" s="10"/>
      <c r="AB49" s="10"/>
    </row>
    <row r="50" spans="2:28" x14ac:dyDescent="0.2">
      <c r="B50" s="6"/>
      <c r="C50" s="6"/>
      <c r="D50" s="4"/>
      <c r="E50" s="4"/>
      <c r="F50" s="9"/>
      <c r="G50" s="6"/>
      <c r="H50" s="4"/>
      <c r="I50" s="4"/>
      <c r="J50" s="9"/>
      <c r="K50" s="6"/>
      <c r="L50" s="4"/>
      <c r="M50" s="4"/>
      <c r="N50" s="4"/>
      <c r="O50" s="4"/>
      <c r="P50" s="4"/>
      <c r="Q50" s="4"/>
      <c r="R50" s="10"/>
      <c r="S50" s="10"/>
      <c r="T50" s="10"/>
      <c r="U50" s="4"/>
      <c r="V50" s="4"/>
      <c r="W50" s="10"/>
      <c r="X50" s="10"/>
      <c r="Y50" s="10"/>
      <c r="Z50" s="10"/>
      <c r="AA50" s="10"/>
      <c r="AB50" s="10"/>
    </row>
    <row r="51" spans="2:28" x14ac:dyDescent="0.2">
      <c r="B51" s="6"/>
      <c r="C51" s="6"/>
      <c r="D51" s="4"/>
      <c r="E51" s="4"/>
      <c r="F51" s="9"/>
      <c r="G51" s="6"/>
      <c r="H51" s="4"/>
      <c r="I51" s="4"/>
      <c r="J51" s="9"/>
      <c r="K51" s="6"/>
      <c r="L51" s="4"/>
      <c r="M51" s="4"/>
      <c r="N51" s="4"/>
      <c r="O51" s="4"/>
      <c r="P51" s="4"/>
      <c r="Q51" s="4"/>
      <c r="R51" s="10"/>
      <c r="S51" s="10"/>
      <c r="T51" s="10"/>
      <c r="U51" s="4"/>
      <c r="V51" s="4"/>
      <c r="W51" s="10"/>
      <c r="X51" s="10"/>
      <c r="Y51" s="10"/>
      <c r="Z51" s="10"/>
      <c r="AA51" s="10"/>
      <c r="AB51" s="10"/>
    </row>
    <row r="52" spans="2:28" x14ac:dyDescent="0.2">
      <c r="B52" s="6"/>
      <c r="C52" s="6"/>
      <c r="D52" s="4"/>
      <c r="E52" s="4"/>
      <c r="F52" s="9"/>
      <c r="G52" s="6"/>
      <c r="H52" s="4"/>
      <c r="I52" s="4"/>
      <c r="J52" s="9"/>
      <c r="K52" s="6"/>
      <c r="L52" s="4"/>
      <c r="M52" s="4"/>
      <c r="N52" s="4"/>
      <c r="O52" s="4"/>
      <c r="P52" s="4"/>
      <c r="Q52" s="4"/>
      <c r="R52" s="10"/>
      <c r="S52" s="10"/>
      <c r="T52" s="10"/>
      <c r="U52" s="4"/>
      <c r="V52" s="4"/>
      <c r="W52" s="10"/>
      <c r="X52" s="10"/>
      <c r="Y52" s="10"/>
      <c r="Z52" s="10"/>
      <c r="AA52" s="10"/>
      <c r="AB52" s="10"/>
    </row>
    <row r="53" spans="2:28" x14ac:dyDescent="0.2">
      <c r="B53" s="6"/>
      <c r="C53" s="6"/>
      <c r="D53" s="4"/>
      <c r="E53" s="4"/>
      <c r="F53" s="9"/>
      <c r="G53" s="6"/>
      <c r="H53" s="4"/>
      <c r="I53" s="4"/>
      <c r="J53" s="9"/>
      <c r="K53" s="6"/>
      <c r="L53" s="4"/>
      <c r="M53" s="4"/>
      <c r="N53" s="4"/>
      <c r="O53" s="4"/>
      <c r="P53" s="4"/>
      <c r="Q53" s="4"/>
      <c r="R53" s="10"/>
      <c r="S53" s="10"/>
      <c r="T53" s="10"/>
      <c r="U53" s="4"/>
      <c r="V53" s="4"/>
      <c r="W53" s="10"/>
      <c r="X53" s="10"/>
      <c r="Y53" s="10"/>
      <c r="Z53" s="10"/>
      <c r="AA53" s="10"/>
      <c r="AB53" s="10"/>
    </row>
    <row r="54" spans="2:28" x14ac:dyDescent="0.2">
      <c r="B54" s="6"/>
      <c r="C54" s="6"/>
      <c r="D54" s="4"/>
      <c r="E54" s="4"/>
      <c r="F54" s="9"/>
      <c r="G54" s="6"/>
      <c r="H54" s="4"/>
      <c r="I54" s="4"/>
      <c r="J54" s="9"/>
      <c r="K54" s="6"/>
      <c r="L54" s="4"/>
      <c r="M54" s="4"/>
      <c r="N54" s="4"/>
      <c r="O54" s="4"/>
      <c r="P54" s="4"/>
      <c r="Q54" s="4"/>
      <c r="R54" s="10"/>
      <c r="S54" s="10"/>
      <c r="T54" s="10"/>
      <c r="U54" s="4"/>
      <c r="V54" s="4"/>
      <c r="W54" s="10"/>
      <c r="X54" s="10"/>
      <c r="Y54" s="10"/>
      <c r="Z54" s="10"/>
      <c r="AA54" s="10"/>
      <c r="AB54" s="10"/>
    </row>
    <row r="55" spans="2:28" x14ac:dyDescent="0.2">
      <c r="B55" s="6"/>
      <c r="C55" s="6"/>
      <c r="D55" s="4"/>
      <c r="E55" s="4"/>
      <c r="F55" s="9"/>
      <c r="G55" s="6"/>
      <c r="H55" s="4"/>
      <c r="I55" s="4"/>
      <c r="J55" s="9"/>
      <c r="K55" s="6"/>
      <c r="L55" s="4"/>
      <c r="M55" s="4"/>
      <c r="N55" s="4"/>
      <c r="O55" s="4"/>
      <c r="P55" s="4"/>
      <c r="Q55" s="4"/>
      <c r="R55" s="10"/>
      <c r="S55" s="10"/>
      <c r="T55" s="10"/>
      <c r="U55" s="4"/>
      <c r="V55" s="4"/>
      <c r="W55" s="10"/>
      <c r="X55" s="10"/>
      <c r="Y55" s="10"/>
      <c r="Z55" s="10"/>
      <c r="AA55" s="10"/>
      <c r="AB55" s="10"/>
    </row>
    <row r="56" spans="2:28" x14ac:dyDescent="0.2">
      <c r="B56" s="19" t="s">
        <v>22</v>
      </c>
      <c r="C56" s="19"/>
      <c r="D56" s="19"/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3">
        <f>SUM(W33:W55)</f>
        <v>3508</v>
      </c>
      <c r="X56" s="3">
        <f t="shared" ref="X56:AB56" si="0">SUM(X33:X55)</f>
        <v>998</v>
      </c>
      <c r="Y56" s="3">
        <f t="shared" si="0"/>
        <v>6180</v>
      </c>
      <c r="Z56" s="3">
        <f t="shared" si="0"/>
        <v>990</v>
      </c>
      <c r="AA56" s="3">
        <f t="shared" si="0"/>
        <v>2796</v>
      </c>
      <c r="AB56" s="3">
        <f t="shared" si="0"/>
        <v>10956</v>
      </c>
    </row>
  </sheetData>
  <mergeCells count="13">
    <mergeCell ref="W30:AB30"/>
    <mergeCell ref="B56:V56"/>
    <mergeCell ref="B2:AB2"/>
    <mergeCell ref="L29:AB29"/>
    <mergeCell ref="B30:C30"/>
    <mergeCell ref="D30:E30"/>
    <mergeCell ref="F30:G30"/>
    <mergeCell ref="H30:I30"/>
    <mergeCell ref="J30:K30"/>
    <mergeCell ref="R30:T30"/>
    <mergeCell ref="U30:V30"/>
    <mergeCell ref="B29:K29"/>
    <mergeCell ref="L30:Q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4C0A-0679-4FEF-ABD9-10C5A69ABF04}">
  <dimension ref="B2:I54"/>
  <sheetViews>
    <sheetView topLeftCell="A4" workbookViewId="0">
      <selection activeCell="H32" sqref="H32"/>
    </sheetView>
  </sheetViews>
  <sheetFormatPr baseColWidth="10" defaultRowHeight="12.75" x14ac:dyDescent="0.2"/>
  <cols>
    <col min="1" max="16384" width="11.42578125" style="1"/>
  </cols>
  <sheetData>
    <row r="2" spans="2:9" x14ac:dyDescent="0.2">
      <c r="B2" s="18" t="s">
        <v>37</v>
      </c>
      <c r="C2" s="18"/>
      <c r="D2" s="18"/>
      <c r="E2" s="18"/>
      <c r="F2" s="18"/>
      <c r="G2" s="18"/>
      <c r="H2" s="18"/>
      <c r="I2" s="18"/>
    </row>
    <row r="27" spans="2:9" x14ac:dyDescent="0.2">
      <c r="B27" s="32" t="s">
        <v>1</v>
      </c>
      <c r="C27" s="33"/>
      <c r="D27" s="33"/>
      <c r="E27" s="33"/>
      <c r="F27" s="33"/>
      <c r="G27" s="33"/>
      <c r="H27" s="23" t="s">
        <v>16</v>
      </c>
      <c r="I27" s="23"/>
    </row>
    <row r="28" spans="2:9" x14ac:dyDescent="0.2">
      <c r="B28" s="21" t="s">
        <v>2</v>
      </c>
      <c r="C28" s="21"/>
      <c r="D28" s="21" t="s">
        <v>5</v>
      </c>
      <c r="E28" s="21"/>
      <c r="F28" s="24" t="s">
        <v>6</v>
      </c>
      <c r="G28" s="21"/>
      <c r="H28" s="15" t="s">
        <v>17</v>
      </c>
      <c r="I28" s="15" t="s">
        <v>21</v>
      </c>
    </row>
    <row r="29" spans="2:9" x14ac:dyDescent="0.2">
      <c r="B29" s="5" t="s">
        <v>3</v>
      </c>
      <c r="C29" s="5" t="s">
        <v>4</v>
      </c>
      <c r="D29" s="5" t="s">
        <v>8</v>
      </c>
      <c r="E29" s="5" t="s">
        <v>9</v>
      </c>
      <c r="F29" s="8" t="s">
        <v>2</v>
      </c>
      <c r="G29" s="5" t="s">
        <v>5</v>
      </c>
      <c r="H29" s="7">
        <v>3903</v>
      </c>
      <c r="I29" s="7">
        <v>3903</v>
      </c>
    </row>
    <row r="30" spans="2:9" x14ac:dyDescent="0.2">
      <c r="B30" s="5" t="s">
        <v>7</v>
      </c>
      <c r="C30" s="5" t="s">
        <v>7</v>
      </c>
      <c r="D30" s="5" t="s">
        <v>7</v>
      </c>
      <c r="E30" s="5" t="s">
        <v>7</v>
      </c>
      <c r="F30" s="8" t="s">
        <v>7</v>
      </c>
      <c r="G30" s="5" t="s">
        <v>7</v>
      </c>
      <c r="H30" s="7" t="s">
        <v>7</v>
      </c>
      <c r="I30" s="7" t="s">
        <v>7</v>
      </c>
    </row>
    <row r="31" spans="2:9" x14ac:dyDescent="0.2">
      <c r="B31" s="6">
        <v>800</v>
      </c>
      <c r="C31" s="6">
        <v>800</v>
      </c>
      <c r="D31" s="4">
        <v>1000</v>
      </c>
      <c r="E31" s="4">
        <v>1000</v>
      </c>
      <c r="F31" s="9">
        <f>MAX(B31:C31)</f>
        <v>800</v>
      </c>
      <c r="G31" s="6">
        <f>MAX(D31:E31)</f>
        <v>1000</v>
      </c>
      <c r="H31" s="4">
        <f>(F31*2+G31*2)*2</f>
        <v>7200</v>
      </c>
      <c r="I31" s="10">
        <f>+H31</f>
        <v>7200</v>
      </c>
    </row>
    <row r="32" spans="2:9" x14ac:dyDescent="0.2">
      <c r="B32" s="6"/>
      <c r="C32" s="6"/>
      <c r="D32" s="4"/>
      <c r="E32" s="4"/>
      <c r="F32" s="9"/>
      <c r="G32" s="6"/>
      <c r="H32" s="4"/>
      <c r="I32" s="10"/>
    </row>
    <row r="33" spans="2:9" x14ac:dyDescent="0.2">
      <c r="B33" s="6"/>
      <c r="C33" s="6"/>
      <c r="D33" s="4"/>
      <c r="E33" s="4"/>
      <c r="F33" s="9"/>
      <c r="G33" s="6"/>
      <c r="H33" s="4"/>
      <c r="I33" s="10"/>
    </row>
    <row r="34" spans="2:9" x14ac:dyDescent="0.2">
      <c r="B34" s="6"/>
      <c r="C34" s="6"/>
      <c r="D34" s="4"/>
      <c r="E34" s="4"/>
      <c r="F34" s="9"/>
      <c r="G34" s="6"/>
      <c r="H34" s="4"/>
      <c r="I34" s="10"/>
    </row>
    <row r="35" spans="2:9" x14ac:dyDescent="0.2">
      <c r="B35" s="6"/>
      <c r="C35" s="6"/>
      <c r="D35" s="4"/>
      <c r="E35" s="4"/>
      <c r="F35" s="9"/>
      <c r="G35" s="6"/>
      <c r="H35" s="4"/>
      <c r="I35" s="10"/>
    </row>
    <row r="36" spans="2:9" x14ac:dyDescent="0.2">
      <c r="B36" s="6"/>
      <c r="C36" s="6"/>
      <c r="D36" s="4"/>
      <c r="E36" s="4"/>
      <c r="F36" s="9"/>
      <c r="G36" s="6"/>
      <c r="H36" s="4"/>
      <c r="I36" s="10"/>
    </row>
    <row r="37" spans="2:9" x14ac:dyDescent="0.2">
      <c r="B37" s="6"/>
      <c r="C37" s="6"/>
      <c r="D37" s="4"/>
      <c r="E37" s="4"/>
      <c r="F37" s="9"/>
      <c r="G37" s="6"/>
      <c r="H37" s="4"/>
      <c r="I37" s="10"/>
    </row>
    <row r="38" spans="2:9" x14ac:dyDescent="0.2">
      <c r="B38" s="6"/>
      <c r="C38" s="6"/>
      <c r="D38" s="4"/>
      <c r="E38" s="4"/>
      <c r="F38" s="9"/>
      <c r="G38" s="6"/>
      <c r="H38" s="4"/>
      <c r="I38" s="10"/>
    </row>
    <row r="39" spans="2:9" x14ac:dyDescent="0.2">
      <c r="B39" s="6"/>
      <c r="C39" s="6"/>
      <c r="D39" s="4"/>
      <c r="E39" s="4"/>
      <c r="F39" s="9"/>
      <c r="G39" s="6"/>
      <c r="H39" s="4"/>
      <c r="I39" s="10"/>
    </row>
    <row r="40" spans="2:9" x14ac:dyDescent="0.2">
      <c r="B40" s="6"/>
      <c r="C40" s="6"/>
      <c r="D40" s="4"/>
      <c r="E40" s="4"/>
      <c r="F40" s="9"/>
      <c r="G40" s="6"/>
      <c r="H40" s="4"/>
      <c r="I40" s="10"/>
    </row>
    <row r="41" spans="2:9" x14ac:dyDescent="0.2">
      <c r="B41" s="6"/>
      <c r="C41" s="6"/>
      <c r="D41" s="4"/>
      <c r="E41" s="4"/>
      <c r="F41" s="9"/>
      <c r="G41" s="6"/>
      <c r="H41" s="4"/>
      <c r="I41" s="10"/>
    </row>
    <row r="42" spans="2:9" x14ac:dyDescent="0.2">
      <c r="B42" s="6"/>
      <c r="C42" s="6"/>
      <c r="D42" s="4"/>
      <c r="E42" s="4"/>
      <c r="F42" s="9"/>
      <c r="G42" s="6"/>
      <c r="H42" s="4"/>
      <c r="I42" s="10"/>
    </row>
    <row r="43" spans="2:9" x14ac:dyDescent="0.2">
      <c r="B43" s="6"/>
      <c r="C43" s="6"/>
      <c r="D43" s="4"/>
      <c r="E43" s="4"/>
      <c r="F43" s="9"/>
      <c r="G43" s="6"/>
      <c r="H43" s="4"/>
      <c r="I43" s="10"/>
    </row>
    <row r="44" spans="2:9" x14ac:dyDescent="0.2">
      <c r="B44" s="6"/>
      <c r="C44" s="6"/>
      <c r="D44" s="4"/>
      <c r="E44" s="4"/>
      <c r="F44" s="9"/>
      <c r="G44" s="6"/>
      <c r="H44" s="4"/>
      <c r="I44" s="10"/>
    </row>
    <row r="45" spans="2:9" x14ac:dyDescent="0.2">
      <c r="B45" s="6"/>
      <c r="C45" s="6"/>
      <c r="D45" s="4"/>
      <c r="E45" s="4"/>
      <c r="F45" s="9"/>
      <c r="G45" s="6"/>
      <c r="H45" s="4"/>
      <c r="I45" s="10"/>
    </row>
    <row r="46" spans="2:9" x14ac:dyDescent="0.2">
      <c r="B46" s="6"/>
      <c r="C46" s="6"/>
      <c r="D46" s="4"/>
      <c r="E46" s="4"/>
      <c r="F46" s="9"/>
      <c r="G46" s="6"/>
      <c r="H46" s="4"/>
      <c r="I46" s="10"/>
    </row>
    <row r="47" spans="2:9" x14ac:dyDescent="0.2">
      <c r="B47" s="6"/>
      <c r="C47" s="6"/>
      <c r="D47" s="4"/>
      <c r="E47" s="4"/>
      <c r="F47" s="9"/>
      <c r="G47" s="6"/>
      <c r="H47" s="4"/>
      <c r="I47" s="10"/>
    </row>
    <row r="48" spans="2:9" x14ac:dyDescent="0.2">
      <c r="B48" s="6"/>
      <c r="C48" s="6"/>
      <c r="D48" s="4"/>
      <c r="E48" s="4"/>
      <c r="F48" s="9"/>
      <c r="G48" s="6"/>
      <c r="H48" s="4"/>
      <c r="I48" s="10"/>
    </row>
    <row r="49" spans="2:9" x14ac:dyDescent="0.2">
      <c r="B49" s="6"/>
      <c r="C49" s="6"/>
      <c r="D49" s="4"/>
      <c r="E49" s="4"/>
      <c r="F49" s="9"/>
      <c r="G49" s="6"/>
      <c r="H49" s="4"/>
      <c r="I49" s="10"/>
    </row>
    <row r="50" spans="2:9" x14ac:dyDescent="0.2">
      <c r="B50" s="6"/>
      <c r="C50" s="6"/>
      <c r="D50" s="4"/>
      <c r="E50" s="4"/>
      <c r="F50" s="9"/>
      <c r="G50" s="6"/>
      <c r="H50" s="4"/>
      <c r="I50" s="10"/>
    </row>
    <row r="51" spans="2:9" x14ac:dyDescent="0.2">
      <c r="B51" s="6"/>
      <c r="C51" s="6"/>
      <c r="D51" s="4"/>
      <c r="E51" s="4"/>
      <c r="F51" s="9"/>
      <c r="G51" s="6"/>
      <c r="H51" s="4"/>
      <c r="I51" s="10"/>
    </row>
    <row r="52" spans="2:9" x14ac:dyDescent="0.2">
      <c r="B52" s="6"/>
      <c r="C52" s="6"/>
      <c r="D52" s="4"/>
      <c r="E52" s="4"/>
      <c r="F52" s="9"/>
      <c r="G52" s="6"/>
      <c r="H52" s="4"/>
      <c r="I52" s="10"/>
    </row>
    <row r="53" spans="2:9" x14ac:dyDescent="0.2">
      <c r="B53" s="6"/>
      <c r="C53" s="6"/>
      <c r="D53" s="4"/>
      <c r="E53" s="4"/>
      <c r="F53" s="9"/>
      <c r="G53" s="6"/>
      <c r="H53" s="4"/>
      <c r="I53" s="10"/>
    </row>
    <row r="54" spans="2:9" x14ac:dyDescent="0.2">
      <c r="B54" s="19" t="s">
        <v>22</v>
      </c>
      <c r="C54" s="19"/>
      <c r="D54" s="19"/>
      <c r="E54" s="19"/>
      <c r="F54" s="20"/>
      <c r="G54" s="20"/>
      <c r="H54" s="20"/>
      <c r="I54" s="3">
        <f>SUM(I31:I53)</f>
        <v>7200</v>
      </c>
    </row>
  </sheetData>
  <mergeCells count="7">
    <mergeCell ref="B54:H54"/>
    <mergeCell ref="B2:I2"/>
    <mergeCell ref="B27:G27"/>
    <mergeCell ref="H27:I27"/>
    <mergeCell ref="B28:C28"/>
    <mergeCell ref="D28:E28"/>
    <mergeCell ref="F28:G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A28D-5F76-4EF4-8103-AB4B02459ABF}">
  <dimension ref="B3:J42"/>
  <sheetViews>
    <sheetView tabSelected="1" workbookViewId="0">
      <selection activeCell="P25" sqref="P25"/>
    </sheetView>
  </sheetViews>
  <sheetFormatPr baseColWidth="10" defaultRowHeight="12.75" x14ac:dyDescent="0.2"/>
  <cols>
    <col min="1" max="7" width="11.42578125" style="1"/>
    <col min="8" max="8" width="8" style="1" hidden="1" customWidth="1"/>
    <col min="9" max="9" width="12.28515625" style="1" bestFit="1" customWidth="1"/>
    <col min="10" max="16384" width="11.42578125" style="1"/>
  </cols>
  <sheetData>
    <row r="3" spans="2:10" x14ac:dyDescent="0.2">
      <c r="B3" s="2" t="s">
        <v>12</v>
      </c>
      <c r="C3" s="17" t="s">
        <v>13</v>
      </c>
      <c r="D3" s="17"/>
      <c r="E3" s="17"/>
      <c r="F3" s="17"/>
      <c r="G3" s="17"/>
      <c r="H3" s="2" t="s">
        <v>15</v>
      </c>
      <c r="I3" s="1" t="s">
        <v>72</v>
      </c>
    </row>
    <row r="4" spans="2:10" x14ac:dyDescent="0.2">
      <c r="B4" s="1">
        <v>3893</v>
      </c>
      <c r="C4" s="16" t="s">
        <v>14</v>
      </c>
      <c r="D4" s="16"/>
      <c r="E4" s="16"/>
      <c r="F4" s="16"/>
      <c r="G4" s="16"/>
      <c r="H4" s="1">
        <f>IFERROR(HLOOKUP(B4,DBB!$T$31:$X$56,26,FALSE),0)+IFERROR(HLOOKUP(B4,PB!$R$31:$U$56,26,FALSE),0)+IFERROR(HLOOKUP(B4,PTA!$W$31:$AB$56,26,FALSE),0)+IFERROR(HLOOKUP(B4,DO!$I$29:$I$54,26,FALSE),0)</f>
        <v>22340</v>
      </c>
      <c r="I4" s="1">
        <f t="shared" ref="I4:I16" si="0">ROUNDUP((H4/6000)*1.1,0)</f>
        <v>5</v>
      </c>
      <c r="J4" s="1" t="s">
        <v>42</v>
      </c>
    </row>
    <row r="5" spans="2:10" x14ac:dyDescent="0.2">
      <c r="B5" s="1">
        <v>3784</v>
      </c>
      <c r="C5" s="16" t="s">
        <v>18</v>
      </c>
      <c r="D5" s="16"/>
      <c r="E5" s="16"/>
      <c r="F5" s="16"/>
      <c r="G5" s="16"/>
      <c r="H5" s="1">
        <f>IFERROR(HLOOKUP(B5,DBB!$T$31:$X$56,26,FALSE),0)+IFERROR(HLOOKUP(B5,PB!$R$31:$U$56,26,FALSE),0)+IFERROR(HLOOKUP(B5,PTA!$W$31:$AB$56,26,FALSE),0)+IFERROR(HLOOKUP(B5,DO!$I$29:$I$54,26,FALSE),0)</f>
        <v>82565</v>
      </c>
      <c r="I5" s="1">
        <f t="shared" si="0"/>
        <v>16</v>
      </c>
      <c r="J5" s="1" t="s">
        <v>42</v>
      </c>
    </row>
    <row r="6" spans="2:10" x14ac:dyDescent="0.2">
      <c r="B6" s="1">
        <v>3897</v>
      </c>
      <c r="C6" s="16" t="s">
        <v>19</v>
      </c>
      <c r="D6" s="16"/>
      <c r="E6" s="16"/>
      <c r="F6" s="16"/>
      <c r="G6" s="16"/>
      <c r="H6" s="1">
        <f>IFERROR(HLOOKUP(B6,DBB!$T$31:$X$56,26,FALSE),0)+IFERROR(HLOOKUP(B6,PB!$R$31:$U$56,26,FALSE),0)+IFERROR(HLOOKUP(B6,PTA!$W$31:$AB$56,26,FALSE),0)+IFERROR(HLOOKUP(B6,DO!$I$29:$I$54,26,FALSE),0)</f>
        <v>10282</v>
      </c>
      <c r="I6" s="1">
        <f t="shared" si="0"/>
        <v>2</v>
      </c>
      <c r="J6" s="1" t="s">
        <v>42</v>
      </c>
    </row>
    <row r="7" spans="2:10" x14ac:dyDescent="0.2">
      <c r="B7" s="1">
        <v>3785</v>
      </c>
      <c r="C7" s="16" t="s">
        <v>20</v>
      </c>
      <c r="D7" s="16"/>
      <c r="E7" s="16"/>
      <c r="F7" s="16"/>
      <c r="G7" s="16"/>
      <c r="H7" s="1">
        <f>IFERROR(HLOOKUP(B7,DBB!$T$31:$X$56,26,FALSE),0)+IFERROR(HLOOKUP(B7,PB!$R$31:$U$56,26,FALSE),0)+IFERROR(HLOOKUP(B7,PTA!$W$31:$AB$56,26,FALSE),0)+IFERROR(HLOOKUP(B7,DO!$I$29:$I$54,26,FALSE),0)</f>
        <v>114076</v>
      </c>
      <c r="I7" s="1">
        <f t="shared" si="0"/>
        <v>21</v>
      </c>
      <c r="J7" s="1" t="s">
        <v>42</v>
      </c>
    </row>
    <row r="8" spans="2:10" x14ac:dyDescent="0.2">
      <c r="B8" s="1">
        <v>1386</v>
      </c>
      <c r="C8" s="16" t="s">
        <v>24</v>
      </c>
      <c r="D8" s="16"/>
      <c r="E8" s="16"/>
      <c r="F8" s="16"/>
      <c r="G8" s="16"/>
      <c r="H8" s="1">
        <f>IFERROR(HLOOKUP(B8,DBB!$T$31:$X$56,26,FALSE),0)+IFERROR(HLOOKUP(B8,PB!$R$31:$U$56,26,FALSE),0)+IFERROR(HLOOKUP(B8,PTA!$W$31:$AB$56,26,FALSE),0)+IFERROR(HLOOKUP(B8,DO!$I$29:$I$54,26,FALSE),0)</f>
        <v>13952.8</v>
      </c>
      <c r="I8" s="1">
        <f t="shared" si="0"/>
        <v>3</v>
      </c>
      <c r="J8" s="1" t="s">
        <v>42</v>
      </c>
    </row>
    <row r="9" spans="2:10" x14ac:dyDescent="0.2">
      <c r="B9" s="1">
        <v>3881</v>
      </c>
      <c r="C9" s="16" t="s">
        <v>28</v>
      </c>
      <c r="D9" s="16"/>
      <c r="E9" s="16"/>
      <c r="F9" s="16"/>
      <c r="G9" s="16"/>
      <c r="H9" s="1">
        <f>IFERROR(HLOOKUP(B9,DBB!$T$31:$X$56,26,FALSE),0)+IFERROR(HLOOKUP(B9,PB!$R$31:$U$56,26,FALSE),0)+IFERROR(HLOOKUP(B9,PTA!$W$31:$AB$56,26,FALSE),0)+IFERROR(HLOOKUP(B9,DO!$I$29:$I$54,26,FALSE),0)</f>
        <v>7392</v>
      </c>
      <c r="I9" s="1">
        <f t="shared" si="0"/>
        <v>2</v>
      </c>
      <c r="J9" s="1" t="s">
        <v>42</v>
      </c>
    </row>
    <row r="10" spans="2:10" x14ac:dyDescent="0.2">
      <c r="B10" s="1">
        <v>3791</v>
      </c>
      <c r="C10" s="16" t="s">
        <v>32</v>
      </c>
      <c r="D10" s="16"/>
      <c r="E10" s="16"/>
      <c r="F10" s="16"/>
      <c r="G10" s="16"/>
      <c r="H10" s="1">
        <f>IFERROR(HLOOKUP(B10,DBB!$T$31:$X$56,26,FALSE),0)+IFERROR(HLOOKUP(B10,PB!$R$31:$U$56,26,FALSE),0)+IFERROR(HLOOKUP(B10,PTA!$W$31:$AB$56,26,FALSE),0)+IFERROR(HLOOKUP(B10,DO!$I$29:$I$54,26,FALSE),0)</f>
        <v>47337.600000000006</v>
      </c>
      <c r="I10" s="1">
        <f t="shared" si="0"/>
        <v>9</v>
      </c>
      <c r="J10" s="1" t="s">
        <v>42</v>
      </c>
    </row>
    <row r="11" spans="2:10" x14ac:dyDescent="0.2">
      <c r="B11" s="1">
        <v>3892</v>
      </c>
      <c r="C11" s="16" t="s">
        <v>34</v>
      </c>
      <c r="D11" s="16"/>
      <c r="E11" s="16"/>
      <c r="F11" s="16"/>
      <c r="G11" s="16"/>
      <c r="H11" s="1">
        <f>IFERROR(HLOOKUP(B11,DBB!$T$31:$X$56,26,FALSE),0)+IFERROR(HLOOKUP(B11,PB!$R$31:$U$56,26,FALSE),0)+IFERROR(HLOOKUP(B11,PTA!$W$31:$AB$56,26,FALSE),0)+IFERROR(HLOOKUP(B11,DO!$I$29:$I$54,26,FALSE),0)</f>
        <v>998</v>
      </c>
      <c r="I11" s="1">
        <f t="shared" si="0"/>
        <v>1</v>
      </c>
      <c r="J11" s="1" t="s">
        <v>42</v>
      </c>
    </row>
    <row r="12" spans="2:10" x14ac:dyDescent="0.2">
      <c r="B12" s="1">
        <v>4130</v>
      </c>
      <c r="C12" s="16" t="s">
        <v>35</v>
      </c>
      <c r="D12" s="16"/>
      <c r="E12" s="16"/>
      <c r="F12" s="16"/>
      <c r="G12" s="16"/>
      <c r="H12" s="1">
        <f>IFERROR(HLOOKUP(B12,DBB!$T$31:$X$56,26,FALSE),0)+IFERROR(HLOOKUP(B12,PB!$R$31:$U$56,26,FALSE),0)+IFERROR(HLOOKUP(B12,PTA!$W$31:$AB$56,26,FALSE),0)+IFERROR(HLOOKUP(B12,DO!$I$29:$I$54,26,FALSE),0)</f>
        <v>990</v>
      </c>
      <c r="I12" s="1">
        <f t="shared" si="0"/>
        <v>1</v>
      </c>
      <c r="J12" s="1" t="s">
        <v>42</v>
      </c>
    </row>
    <row r="13" spans="2:10" x14ac:dyDescent="0.2">
      <c r="B13" s="1">
        <v>2810</v>
      </c>
      <c r="C13" s="16" t="s">
        <v>36</v>
      </c>
      <c r="D13" s="16"/>
      <c r="E13" s="16"/>
      <c r="F13" s="16"/>
      <c r="G13" s="16"/>
      <c r="H13" s="1">
        <f>IFERROR(HLOOKUP(B13,DBB!$T$31:$X$56,26,FALSE),0)+IFERROR(HLOOKUP(B13,PB!$R$31:$U$56,26,FALSE),0)+IFERROR(HLOOKUP(B13,PTA!$W$31:$AB$56,26,FALSE),0)+IFERROR(HLOOKUP(B13,DO!$I$29:$I$54,26,FALSE),0)</f>
        <v>2796</v>
      </c>
      <c r="I13" s="1">
        <f t="shared" si="0"/>
        <v>1</v>
      </c>
      <c r="J13" s="1" t="s">
        <v>42</v>
      </c>
    </row>
    <row r="14" spans="2:10" x14ac:dyDescent="0.2">
      <c r="B14" s="1">
        <v>3903</v>
      </c>
      <c r="C14" s="16" t="s">
        <v>38</v>
      </c>
      <c r="D14" s="16"/>
      <c r="E14" s="16"/>
      <c r="F14" s="16"/>
      <c r="G14" s="16"/>
      <c r="H14" s="1">
        <f>IFERROR(HLOOKUP(B14,DBB!$T$31:$X$56,26,FALSE),0)+IFERROR(HLOOKUP(B14,PB!$R$31:$U$56,26,FALSE),0)+IFERROR(HLOOKUP(B14,PTA!$W$31:$AB$56,26,FALSE),0)+IFERROR(HLOOKUP(B14,DO!$I$29:$I$54,26,FALSE),0)</f>
        <v>7200</v>
      </c>
      <c r="I14" s="1">
        <f t="shared" si="0"/>
        <v>2</v>
      </c>
      <c r="J14" s="1" t="s">
        <v>42</v>
      </c>
    </row>
    <row r="15" spans="2:10" x14ac:dyDescent="0.2">
      <c r="B15" s="1">
        <v>3777</v>
      </c>
      <c r="C15" s="16" t="s">
        <v>44</v>
      </c>
      <c r="D15" s="16"/>
      <c r="E15" s="16"/>
      <c r="F15" s="16"/>
      <c r="G15" s="16"/>
      <c r="H15" s="1">
        <f>1600*9</f>
        <v>14400</v>
      </c>
      <c r="I15" s="1">
        <f t="shared" si="0"/>
        <v>3</v>
      </c>
      <c r="J15" s="1" t="s">
        <v>42</v>
      </c>
    </row>
    <row r="16" spans="2:10" x14ac:dyDescent="0.2">
      <c r="B16" s="1">
        <v>2033</v>
      </c>
      <c r="C16" s="16" t="s">
        <v>45</v>
      </c>
      <c r="D16" s="16"/>
      <c r="E16" s="16"/>
      <c r="F16" s="16"/>
      <c r="G16" s="16"/>
      <c r="H16" s="1">
        <f>(40*(160+16+2+32+6+40+8+32))*1.1</f>
        <v>13024.000000000002</v>
      </c>
      <c r="I16" s="1">
        <f t="shared" si="0"/>
        <v>3</v>
      </c>
      <c r="J16" s="1" t="s">
        <v>42</v>
      </c>
    </row>
    <row r="17" spans="2:10" x14ac:dyDescent="0.2">
      <c r="B17" s="1" t="s">
        <v>40</v>
      </c>
      <c r="C17" s="16" t="s">
        <v>39</v>
      </c>
      <c r="D17" s="16"/>
      <c r="E17" s="16"/>
      <c r="F17" s="16"/>
      <c r="G17" s="16"/>
      <c r="H17" s="1">
        <f>+H7*2</f>
        <v>228152</v>
      </c>
      <c r="I17" s="1">
        <f>ROUNDUP((H17/1000)*1.05,0)</f>
        <v>240</v>
      </c>
      <c r="J17" s="1" t="s">
        <v>43</v>
      </c>
    </row>
    <row r="18" spans="2:10" x14ac:dyDescent="0.2">
      <c r="B18" s="1" t="s">
        <v>57</v>
      </c>
      <c r="C18" s="16" t="s">
        <v>41</v>
      </c>
      <c r="D18" s="16"/>
      <c r="E18" s="16"/>
      <c r="F18" s="16"/>
      <c r="G18" s="16"/>
      <c r="H18" s="1">
        <f>+H14</f>
        <v>7200</v>
      </c>
      <c r="I18" s="1">
        <f>ROUNDUP((H18/1000)*1.05,0)</f>
        <v>8</v>
      </c>
      <c r="J18" s="1" t="s">
        <v>43</v>
      </c>
    </row>
    <row r="19" spans="2:10" x14ac:dyDescent="0.2">
      <c r="C19" s="16" t="s">
        <v>46</v>
      </c>
      <c r="D19" s="16"/>
      <c r="E19" s="16"/>
      <c r="F19" s="16"/>
      <c r="G19" s="16"/>
      <c r="H19" s="1">
        <f>(160+16+2+32+6+40+8+32)*2.05</f>
        <v>606.79999999999995</v>
      </c>
      <c r="I19" s="1">
        <v>700</v>
      </c>
      <c r="J19" s="1" t="s">
        <v>47</v>
      </c>
    </row>
    <row r="20" spans="2:10" x14ac:dyDescent="0.2">
      <c r="C20" s="16" t="s">
        <v>50</v>
      </c>
      <c r="D20" s="16"/>
      <c r="E20" s="16"/>
      <c r="F20" s="16"/>
      <c r="G20" s="16"/>
      <c r="H20" s="1">
        <v>300</v>
      </c>
      <c r="I20" s="1">
        <v>300</v>
      </c>
      <c r="J20" s="1" t="s">
        <v>47</v>
      </c>
    </row>
    <row r="21" spans="2:10" x14ac:dyDescent="0.2">
      <c r="C21" s="16" t="s">
        <v>51</v>
      </c>
      <c r="D21" s="16"/>
      <c r="E21" s="16"/>
      <c r="F21" s="16"/>
      <c r="G21" s="16"/>
      <c r="H21" s="1">
        <v>300</v>
      </c>
      <c r="I21" s="1">
        <v>300</v>
      </c>
      <c r="J21" s="1" t="s">
        <v>47</v>
      </c>
    </row>
    <row r="22" spans="2:10" x14ac:dyDescent="0.2">
      <c r="C22" s="16" t="s">
        <v>52</v>
      </c>
      <c r="D22" s="16"/>
      <c r="E22" s="16"/>
      <c r="F22" s="16"/>
      <c r="G22" s="16"/>
      <c r="H22" s="1">
        <v>200</v>
      </c>
      <c r="I22" s="1">
        <v>200</v>
      </c>
      <c r="J22" s="1" t="s">
        <v>47</v>
      </c>
    </row>
    <row r="23" spans="2:10" x14ac:dyDescent="0.2">
      <c r="C23" s="16" t="s">
        <v>53</v>
      </c>
      <c r="D23" s="16"/>
      <c r="E23" s="16"/>
      <c r="F23" s="16"/>
      <c r="G23" s="16"/>
      <c r="H23" s="1">
        <v>100</v>
      </c>
      <c r="I23" s="1">
        <v>100</v>
      </c>
      <c r="J23" s="1" t="s">
        <v>47</v>
      </c>
    </row>
    <row r="24" spans="2:10" x14ac:dyDescent="0.2">
      <c r="C24" s="16" t="s">
        <v>54</v>
      </c>
      <c r="D24" s="16"/>
      <c r="E24" s="16"/>
      <c r="F24" s="16"/>
      <c r="G24" s="16"/>
      <c r="H24" s="1">
        <v>500</v>
      </c>
      <c r="I24" s="1">
        <v>500</v>
      </c>
      <c r="J24" s="1" t="s">
        <v>47</v>
      </c>
    </row>
    <row r="25" spans="2:10" x14ac:dyDescent="0.2">
      <c r="C25" s="16" t="s">
        <v>55</v>
      </c>
      <c r="D25" s="16"/>
      <c r="E25" s="16"/>
      <c r="F25" s="16"/>
      <c r="G25" s="16"/>
      <c r="H25" s="1">
        <v>500</v>
      </c>
      <c r="I25" s="1">
        <v>500</v>
      </c>
      <c r="J25" s="1" t="s">
        <v>47</v>
      </c>
    </row>
    <row r="26" spans="2:10" x14ac:dyDescent="0.2">
      <c r="C26" s="16" t="s">
        <v>48</v>
      </c>
      <c r="D26" s="16"/>
      <c r="E26" s="16"/>
      <c r="F26" s="16"/>
      <c r="G26" s="16"/>
      <c r="H26" s="1">
        <f>H19/2</f>
        <v>303.39999999999998</v>
      </c>
      <c r="I26" s="1">
        <v>500</v>
      </c>
      <c r="J26" s="1" t="s">
        <v>47</v>
      </c>
    </row>
    <row r="27" spans="2:10" x14ac:dyDescent="0.2">
      <c r="C27" s="16" t="s">
        <v>49</v>
      </c>
      <c r="D27" s="16"/>
      <c r="E27" s="16"/>
      <c r="F27" s="16"/>
      <c r="G27" s="16"/>
      <c r="H27" s="1">
        <f>H26/2</f>
        <v>151.69999999999999</v>
      </c>
      <c r="I27" s="1">
        <v>500</v>
      </c>
      <c r="J27" s="1" t="s">
        <v>47</v>
      </c>
    </row>
    <row r="28" spans="2:10" x14ac:dyDescent="0.2">
      <c r="C28" s="16" t="s">
        <v>56</v>
      </c>
      <c r="D28" s="16"/>
      <c r="E28" s="16"/>
      <c r="F28" s="16"/>
      <c r="G28" s="16"/>
      <c r="H28" s="1">
        <v>200</v>
      </c>
      <c r="I28" s="1">
        <v>200</v>
      </c>
      <c r="J28" s="1" t="s">
        <v>42</v>
      </c>
    </row>
    <row r="29" spans="2:10" x14ac:dyDescent="0.2">
      <c r="C29" s="16" t="s">
        <v>58</v>
      </c>
      <c r="D29" s="16"/>
      <c r="E29" s="16"/>
      <c r="F29" s="16"/>
      <c r="G29" s="16"/>
      <c r="H29" s="1">
        <v>2</v>
      </c>
      <c r="I29" s="1">
        <v>2</v>
      </c>
      <c r="J29" s="1" t="s">
        <v>47</v>
      </c>
    </row>
    <row r="30" spans="2:10" x14ac:dyDescent="0.2">
      <c r="C30" s="16" t="s">
        <v>59</v>
      </c>
      <c r="D30" s="16"/>
      <c r="E30" s="16"/>
      <c r="F30" s="16"/>
      <c r="G30" s="16"/>
      <c r="H30" s="1">
        <v>24</v>
      </c>
      <c r="I30" s="1">
        <v>24</v>
      </c>
      <c r="J30" s="1" t="s">
        <v>42</v>
      </c>
    </row>
    <row r="31" spans="2:10" x14ac:dyDescent="0.2">
      <c r="C31" s="16" t="s">
        <v>60</v>
      </c>
      <c r="D31" s="16"/>
      <c r="E31" s="16"/>
      <c r="F31" s="16"/>
      <c r="G31" s="16"/>
      <c r="H31" s="1">
        <v>24</v>
      </c>
      <c r="I31" s="1">
        <v>24</v>
      </c>
      <c r="J31" s="1" t="s">
        <v>42</v>
      </c>
    </row>
    <row r="32" spans="2:10" x14ac:dyDescent="0.2">
      <c r="C32" s="16" t="s">
        <v>61</v>
      </c>
      <c r="D32" s="16"/>
      <c r="E32" s="16"/>
      <c r="F32" s="16"/>
      <c r="G32" s="16"/>
      <c r="H32" s="1">
        <v>3</v>
      </c>
      <c r="I32" s="1">
        <v>3</v>
      </c>
      <c r="J32" s="1" t="s">
        <v>42</v>
      </c>
    </row>
    <row r="33" spans="3:10" x14ac:dyDescent="0.2">
      <c r="C33" s="16" t="s">
        <v>62</v>
      </c>
      <c r="D33" s="16"/>
      <c r="E33" s="16"/>
      <c r="F33" s="16"/>
      <c r="G33" s="16"/>
      <c r="H33" s="1">
        <v>3</v>
      </c>
      <c r="I33" s="1">
        <v>3</v>
      </c>
      <c r="J33" s="1" t="s">
        <v>42</v>
      </c>
    </row>
    <row r="34" spans="3:10" x14ac:dyDescent="0.2">
      <c r="C34" s="16" t="s">
        <v>63</v>
      </c>
      <c r="D34" s="16"/>
      <c r="E34" s="16"/>
      <c r="F34" s="16"/>
      <c r="G34" s="16"/>
      <c r="H34" s="1">
        <v>1</v>
      </c>
      <c r="I34" s="1">
        <v>1</v>
      </c>
      <c r="J34" s="1" t="s">
        <v>42</v>
      </c>
    </row>
    <row r="35" spans="3:10" x14ac:dyDescent="0.2">
      <c r="C35" s="16" t="s">
        <v>64</v>
      </c>
      <c r="D35" s="16"/>
      <c r="E35" s="16"/>
      <c r="F35" s="16"/>
      <c r="G35" s="16"/>
      <c r="H35" s="1">
        <v>2</v>
      </c>
      <c r="I35" s="1">
        <v>2</v>
      </c>
      <c r="J35" s="1" t="s">
        <v>42</v>
      </c>
    </row>
    <row r="36" spans="3:10" x14ac:dyDescent="0.2">
      <c r="C36" s="16" t="s">
        <v>65</v>
      </c>
      <c r="D36" s="16"/>
      <c r="E36" s="16"/>
      <c r="F36" s="16"/>
      <c r="G36" s="16"/>
      <c r="H36" s="1">
        <v>12</v>
      </c>
      <c r="I36" s="1">
        <v>12</v>
      </c>
      <c r="J36" s="1" t="s">
        <v>42</v>
      </c>
    </row>
    <row r="37" spans="3:10" x14ac:dyDescent="0.2">
      <c r="C37" s="16" t="s">
        <v>66</v>
      </c>
      <c r="D37" s="16"/>
      <c r="E37" s="16"/>
      <c r="F37" s="16"/>
      <c r="G37" s="16"/>
      <c r="H37" s="1">
        <v>2</v>
      </c>
      <c r="I37" s="1">
        <v>2</v>
      </c>
      <c r="J37" s="1" t="s">
        <v>42</v>
      </c>
    </row>
    <row r="38" spans="3:10" x14ac:dyDescent="0.2">
      <c r="C38" s="16" t="s">
        <v>67</v>
      </c>
      <c r="D38" s="16"/>
      <c r="E38" s="16"/>
      <c r="F38" s="16"/>
      <c r="G38" s="16"/>
      <c r="H38" s="1">
        <v>12</v>
      </c>
      <c r="I38" s="1">
        <v>12</v>
      </c>
      <c r="J38" s="1" t="s">
        <v>42</v>
      </c>
    </row>
    <row r="39" spans="3:10" x14ac:dyDescent="0.2">
      <c r="C39" s="16" t="s">
        <v>68</v>
      </c>
      <c r="D39" s="16"/>
      <c r="E39" s="16"/>
      <c r="F39" s="16"/>
      <c r="G39" s="16"/>
      <c r="H39" s="1">
        <v>1</v>
      </c>
      <c r="I39" s="1">
        <v>1</v>
      </c>
      <c r="J39" s="1" t="s">
        <v>42</v>
      </c>
    </row>
    <row r="40" spans="3:10" x14ac:dyDescent="0.2">
      <c r="C40" s="16" t="s">
        <v>69</v>
      </c>
      <c r="D40" s="16"/>
      <c r="E40" s="16"/>
      <c r="F40" s="16"/>
      <c r="G40" s="16"/>
      <c r="H40" s="1">
        <v>3</v>
      </c>
      <c r="I40" s="1">
        <v>3</v>
      </c>
      <c r="J40" s="1" t="s">
        <v>47</v>
      </c>
    </row>
    <row r="41" spans="3:10" x14ac:dyDescent="0.2">
      <c r="C41" s="16" t="s">
        <v>70</v>
      </c>
      <c r="D41" s="16"/>
      <c r="E41" s="16"/>
      <c r="F41" s="16"/>
      <c r="G41" s="16"/>
      <c r="H41" s="1">
        <v>20</v>
      </c>
      <c r="I41" s="1">
        <v>20</v>
      </c>
      <c r="J41" s="1" t="s">
        <v>47</v>
      </c>
    </row>
    <row r="42" spans="3:10" x14ac:dyDescent="0.2">
      <c r="C42" s="16" t="s">
        <v>71</v>
      </c>
      <c r="D42" s="16"/>
      <c r="E42" s="16"/>
      <c r="F42" s="16"/>
      <c r="G42" s="16"/>
      <c r="H42" s="1">
        <v>10</v>
      </c>
      <c r="I42" s="1">
        <v>10</v>
      </c>
      <c r="J42" s="1" t="s">
        <v>47</v>
      </c>
    </row>
  </sheetData>
  <mergeCells count="40">
    <mergeCell ref="C8:G8"/>
    <mergeCell ref="C4:G4"/>
    <mergeCell ref="C3:G3"/>
    <mergeCell ref="C5:G5"/>
    <mergeCell ref="C6:G6"/>
    <mergeCell ref="C7:G7"/>
    <mergeCell ref="C11:G11"/>
    <mergeCell ref="C12:G12"/>
    <mergeCell ref="C13:G13"/>
    <mergeCell ref="C14:G14"/>
    <mergeCell ref="C9:G9"/>
    <mergeCell ref="C10:G10"/>
    <mergeCell ref="C17:G17"/>
    <mergeCell ref="C19:G19"/>
    <mergeCell ref="C15:G15"/>
    <mergeCell ref="C16:G16"/>
    <mergeCell ref="C26:G26"/>
    <mergeCell ref="C20:G20"/>
    <mergeCell ref="C21:G21"/>
    <mergeCell ref="C22:G22"/>
    <mergeCell ref="C23:G23"/>
    <mergeCell ref="C24:G24"/>
    <mergeCell ref="C25:G25"/>
    <mergeCell ref="C18:G18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42:G42"/>
    <mergeCell ref="C37:G37"/>
    <mergeCell ref="C38:G38"/>
    <mergeCell ref="C39:G39"/>
    <mergeCell ref="C40:G40"/>
    <mergeCell ref="C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DBB</vt:lpstr>
      <vt:lpstr>PB</vt:lpstr>
      <vt:lpstr>PTA</vt:lpstr>
      <vt:lpstr>DO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Romero</dc:creator>
  <cp:lastModifiedBy>Jose Romero</cp:lastModifiedBy>
  <dcterms:created xsi:type="dcterms:W3CDTF">2026-03-05T22:18:29Z</dcterms:created>
  <dcterms:modified xsi:type="dcterms:W3CDTF">2026-03-09T15:20:34Z</dcterms:modified>
</cp:coreProperties>
</file>